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comments29.xml" ContentType="application/vnd.openxmlformats-officedocument.spreadsheetml.comments+xml"/>
  <Override PartName="/xl/threadedComments/threadedComment29.xml" ContentType="application/vnd.ms-excel.threadedcomments+xml"/>
  <Override PartName="/xl/comments30.xml" ContentType="application/vnd.openxmlformats-officedocument.spreadsheetml.comments+xml"/>
  <Override PartName="/xl/threadedComments/threadedComment30.xml" ContentType="application/vnd.ms-excel.threadedcomments+xml"/>
  <Override PartName="/xl/comments31.xml" ContentType="application/vnd.openxmlformats-officedocument.spreadsheetml.comments+xml"/>
  <Override PartName="/xl/threadedComments/threadedComment31.xml" ContentType="application/vnd.ms-excel.threadedcomments+xml"/>
  <Override PartName="/xl/comments32.xml" ContentType="application/vnd.openxmlformats-officedocument.spreadsheetml.comments+xml"/>
  <Override PartName="/xl/threadedComments/threadedComment32.xml" ContentType="application/vnd.ms-excel.threadedcomments+xml"/>
  <Override PartName="/xl/comments33.xml" ContentType="application/vnd.openxmlformats-officedocument.spreadsheetml.comments+xml"/>
  <Override PartName="/xl/threadedComments/threadedComment33.xml" ContentType="application/vnd.ms-excel.threadedcomments+xml"/>
  <Override PartName="/xl/comments34.xml" ContentType="application/vnd.openxmlformats-officedocument.spreadsheetml.comments+xml"/>
  <Override PartName="/xl/threadedComments/threadedComment34.xml" ContentType="application/vnd.ms-excel.threadedcomments+xml"/>
  <Override PartName="/xl/comments35.xml" ContentType="application/vnd.openxmlformats-officedocument.spreadsheetml.comments+xml"/>
  <Override PartName="/xl/threadedComments/threadedComment3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341" documentId="11_0B1D56BE9CDCCE836B02CE7A5FB0D4A9BBFD1C62" xr6:coauthVersionLast="47" xr6:coauthVersionMax="47" xr10:uidLastSave="{626197FA-5A4A-4CFA-B913-C8F5256695EE}"/>
  <bookViews>
    <workbookView xWindow="240" yWindow="105" windowWidth="14805" windowHeight="8010" firstSheet="34" activeTab="35" xr2:uid="{00000000-000D-0000-FFFF-FFFF00000000}"/>
  </bookViews>
  <sheets>
    <sheet name="Sheet1" sheetId="1" r:id="rId1"/>
    <sheet name="30-05-26 " sheetId="28" r:id="rId2"/>
    <sheet name="31-05-26" sheetId="27" r:id="rId3"/>
    <sheet name="01-06-2026" sheetId="2" r:id="rId4"/>
    <sheet name="02-06-2026 " sheetId="5" r:id="rId5"/>
    <sheet name="03-06-2026 " sheetId="16" r:id="rId6"/>
    <sheet name="04-06-2026 " sheetId="15" r:id="rId7"/>
    <sheet name="05-06-2026 " sheetId="14" r:id="rId8"/>
    <sheet name="06-06-2026 " sheetId="13" r:id="rId9"/>
    <sheet name="07-06-2026 " sheetId="12" r:id="rId10"/>
    <sheet name="08-06-2026 " sheetId="11" r:id="rId11"/>
    <sheet name="09-06-2026 " sheetId="10" r:id="rId12"/>
    <sheet name="18-06-2026" sheetId="18" r:id="rId13"/>
    <sheet name="23-06-2026 " sheetId="19" r:id="rId14"/>
    <sheet name="24-06-2026  " sheetId="20" r:id="rId15"/>
    <sheet name="25-06-2026" sheetId="21" r:id="rId16"/>
    <sheet name="26-06-2026 " sheetId="22" r:id="rId17"/>
    <sheet name="27-06-2026  " sheetId="24" r:id="rId18"/>
    <sheet name="28-06-2026" sheetId="25" r:id="rId19"/>
    <sheet name="29-06-2026  " sheetId="23" r:id="rId20"/>
    <sheet name="30-06-2026" sheetId="26" r:id="rId21"/>
    <sheet name="01-07-2026 " sheetId="30" r:id="rId22"/>
    <sheet name="02-07-2026" sheetId="31" r:id="rId23"/>
    <sheet name="03-07-2026 " sheetId="34" r:id="rId24"/>
    <sheet name="04-07-2026" sheetId="35" r:id="rId25"/>
    <sheet name="05-07-2026" sheetId="36" r:id="rId26"/>
    <sheet name="06-07-2026 " sheetId="37" r:id="rId27"/>
    <sheet name="07-07-2026" sheetId="32" r:id="rId28"/>
    <sheet name="08-07-2026" sheetId="33" r:id="rId29"/>
    <sheet name="09-07-2026 " sheetId="38" r:id="rId30"/>
    <sheet name="10-07-2026" sheetId="39" r:id="rId31"/>
    <sheet name="11-07-2026 " sheetId="40" r:id="rId32"/>
    <sheet name="12-07-2026  " sheetId="42" r:id="rId33"/>
    <sheet name="13-07-2026 " sheetId="43" r:id="rId34"/>
    <sheet name="14-07-2026" sheetId="41" r:id="rId35"/>
    <sheet name="17-07-2026 " sheetId="44" r:id="rId36"/>
    <sheet name="Sheet2" sheetId="29" r:id="rId3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4" l="1"/>
  <c r="E5" i="44"/>
  <c r="E14" i="44"/>
  <c r="E15" i="44"/>
  <c r="E16" i="44"/>
  <c r="E17" i="44"/>
  <c r="C17" i="44"/>
  <c r="D17" i="44" s="1"/>
  <c r="C16" i="44"/>
  <c r="D16" i="44" s="1"/>
  <c r="C15" i="44"/>
  <c r="D15" i="44" s="1"/>
  <c r="C14" i="44"/>
  <c r="D14" i="44" s="1"/>
  <c r="E11" i="44"/>
  <c r="F9" i="44"/>
  <c r="D9" i="44"/>
  <c r="B9" i="44"/>
  <c r="F7" i="44"/>
  <c r="D7" i="44"/>
  <c r="B7" i="44"/>
  <c r="F5" i="44"/>
  <c r="D5" i="44"/>
  <c r="B5" i="44"/>
  <c r="F3" i="44"/>
  <c r="C3" i="44"/>
  <c r="D3" i="44" s="1"/>
  <c r="E11" i="41"/>
  <c r="E11" i="43"/>
  <c r="E14" i="43"/>
  <c r="E5" i="43"/>
  <c r="E3" i="43"/>
  <c r="E17" i="43"/>
  <c r="C17" i="43"/>
  <c r="D17" i="43" s="1"/>
  <c r="E16" i="43"/>
  <c r="C16" i="43"/>
  <c r="D16" i="43" s="1"/>
  <c r="E15" i="43"/>
  <c r="C15" i="43"/>
  <c r="D15" i="43" s="1"/>
  <c r="C14" i="43"/>
  <c r="D14" i="43" s="1"/>
  <c r="F9" i="43"/>
  <c r="D9" i="43"/>
  <c r="B9" i="43"/>
  <c r="F7" i="43"/>
  <c r="D7" i="43"/>
  <c r="B7" i="43"/>
  <c r="F5" i="43"/>
  <c r="D5" i="43"/>
  <c r="B5" i="43"/>
  <c r="F3" i="43"/>
  <c r="C3" i="43"/>
  <c r="D3" i="43" s="1"/>
  <c r="E14" i="42"/>
  <c r="E5" i="42"/>
  <c r="E3" i="42"/>
  <c r="E17" i="42"/>
  <c r="C17" i="42"/>
  <c r="D17" i="42" s="1"/>
  <c r="E16" i="42"/>
  <c r="C16" i="42"/>
  <c r="D16" i="42" s="1"/>
  <c r="E15" i="42"/>
  <c r="C15" i="42"/>
  <c r="D15" i="42" s="1"/>
  <c r="C14" i="42"/>
  <c r="D14" i="42" s="1"/>
  <c r="E11" i="42"/>
  <c r="F9" i="42"/>
  <c r="D9" i="42"/>
  <c r="B9" i="42"/>
  <c r="F7" i="42"/>
  <c r="D7" i="42"/>
  <c r="B7" i="42"/>
  <c r="F5" i="42"/>
  <c r="D5" i="42"/>
  <c r="B5" i="42"/>
  <c r="F3" i="42"/>
  <c r="C3" i="42"/>
  <c r="D3" i="42" s="1"/>
  <c r="E16" i="41"/>
  <c r="E17" i="41"/>
  <c r="F17" i="41"/>
  <c r="E15" i="41"/>
  <c r="E14" i="41"/>
  <c r="E5" i="41"/>
  <c r="E3" i="41"/>
  <c r="C17" i="41"/>
  <c r="D17" i="41" s="1"/>
  <c r="C16" i="41"/>
  <c r="D16" i="41" s="1"/>
  <c r="C15" i="41"/>
  <c r="D15" i="41" s="1"/>
  <c r="C14" i="41"/>
  <c r="D14" i="41" s="1"/>
  <c r="F9" i="41"/>
  <c r="D9" i="41"/>
  <c r="B9" i="41"/>
  <c r="F7" i="41"/>
  <c r="D7" i="41"/>
  <c r="B7" i="41"/>
  <c r="F5" i="41"/>
  <c r="D5" i="41"/>
  <c r="B5" i="41"/>
  <c r="F3" i="41"/>
  <c r="C3" i="41"/>
  <c r="D3" i="41" s="1"/>
  <c r="E3" i="40"/>
  <c r="E14" i="39"/>
  <c r="E15" i="39"/>
  <c r="E14" i="40"/>
  <c r="E15" i="40"/>
  <c r="E17" i="39"/>
  <c r="E16" i="39"/>
  <c r="E17" i="40"/>
  <c r="E16" i="40"/>
  <c r="C17" i="40"/>
  <c r="D17" i="40" s="1"/>
  <c r="C16" i="40"/>
  <c r="D16" i="40" s="1"/>
  <c r="C15" i="40"/>
  <c r="D15" i="40" s="1"/>
  <c r="C14" i="40"/>
  <c r="D14" i="40" s="1"/>
  <c r="E11" i="40"/>
  <c r="F9" i="40"/>
  <c r="D9" i="40"/>
  <c r="B9" i="40"/>
  <c r="F7" i="40"/>
  <c r="D7" i="40"/>
  <c r="B7" i="40"/>
  <c r="E5" i="40"/>
  <c r="F5" i="40" s="1"/>
  <c r="D5" i="40"/>
  <c r="B5" i="40"/>
  <c r="F3" i="40"/>
  <c r="C3" i="40"/>
  <c r="D3" i="40" s="1"/>
  <c r="C17" i="39"/>
  <c r="D17" i="39" s="1"/>
  <c r="C16" i="39"/>
  <c r="D16" i="39" s="1"/>
  <c r="C15" i="39"/>
  <c r="D15" i="39" s="1"/>
  <c r="C14" i="39"/>
  <c r="D14" i="39" s="1"/>
  <c r="E11" i="39"/>
  <c r="F9" i="39"/>
  <c r="D9" i="39"/>
  <c r="B9" i="39"/>
  <c r="F7" i="39"/>
  <c r="D7" i="39"/>
  <c r="B7" i="39"/>
  <c r="E5" i="39"/>
  <c r="F5" i="39" s="1"/>
  <c r="D5" i="39"/>
  <c r="B5" i="39"/>
  <c r="F3" i="39"/>
  <c r="C3" i="39"/>
  <c r="D3" i="39" s="1"/>
  <c r="E15" i="38"/>
  <c r="E14" i="38"/>
  <c r="E5" i="38"/>
  <c r="E17" i="38"/>
  <c r="C17" i="38"/>
  <c r="D17" i="38" s="1"/>
  <c r="E16" i="38"/>
  <c r="C16" i="38"/>
  <c r="D16" i="38" s="1"/>
  <c r="C15" i="38"/>
  <c r="D15" i="38" s="1"/>
  <c r="C14" i="38"/>
  <c r="D14" i="38" s="1"/>
  <c r="E11" i="38"/>
  <c r="F9" i="38"/>
  <c r="D9" i="38"/>
  <c r="B9" i="38"/>
  <c r="F7" i="38"/>
  <c r="D7" i="38"/>
  <c r="B7" i="38"/>
  <c r="F5" i="38"/>
  <c r="D5" i="38"/>
  <c r="B5" i="38"/>
  <c r="F3" i="38"/>
  <c r="C3" i="38"/>
  <c r="D3" i="38" s="1"/>
  <c r="E15" i="37"/>
  <c r="E14" i="37"/>
  <c r="E5" i="37"/>
  <c r="E17" i="37"/>
  <c r="C17" i="37"/>
  <c r="D17" i="37" s="1"/>
  <c r="E16" i="37"/>
  <c r="C16" i="37"/>
  <c r="D16" i="37" s="1"/>
  <c r="C15" i="37"/>
  <c r="D15" i="37" s="1"/>
  <c r="C14" i="37"/>
  <c r="D14" i="37" s="1"/>
  <c r="E11" i="37"/>
  <c r="F9" i="37"/>
  <c r="D9" i="37"/>
  <c r="B9" i="37"/>
  <c r="F7" i="37"/>
  <c r="D7" i="37"/>
  <c r="B7" i="37"/>
  <c r="F5" i="37"/>
  <c r="D5" i="37"/>
  <c r="B5" i="37"/>
  <c r="E3" i="37"/>
  <c r="F3" i="37" s="1"/>
  <c r="C3" i="37"/>
  <c r="D3" i="37" s="1"/>
  <c r="E11" i="36"/>
  <c r="E15" i="36"/>
  <c r="E14" i="36"/>
  <c r="E5" i="36"/>
  <c r="E17" i="36"/>
  <c r="C17" i="36"/>
  <c r="D17" i="36" s="1"/>
  <c r="E16" i="36"/>
  <c r="C16" i="36"/>
  <c r="D16" i="36" s="1"/>
  <c r="C15" i="36"/>
  <c r="D15" i="36" s="1"/>
  <c r="C14" i="36"/>
  <c r="D14" i="36" s="1"/>
  <c r="F9" i="36"/>
  <c r="D9" i="36"/>
  <c r="B9" i="36"/>
  <c r="F7" i="36"/>
  <c r="D7" i="36"/>
  <c r="B7" i="36"/>
  <c r="F5" i="36"/>
  <c r="D5" i="36"/>
  <c r="B5" i="36"/>
  <c r="E3" i="36"/>
  <c r="F3" i="36" s="1"/>
  <c r="C3" i="36"/>
  <c r="D3" i="36" s="1"/>
  <c r="E15" i="35"/>
  <c r="E14" i="35"/>
  <c r="E5" i="35"/>
  <c r="E17" i="35"/>
  <c r="C17" i="35"/>
  <c r="D17" i="35" s="1"/>
  <c r="E16" i="35"/>
  <c r="C16" i="35"/>
  <c r="D16" i="35" s="1"/>
  <c r="C15" i="35"/>
  <c r="D15" i="35" s="1"/>
  <c r="C14" i="35"/>
  <c r="D14" i="35" s="1"/>
  <c r="E11" i="35"/>
  <c r="F9" i="35"/>
  <c r="D9" i="35"/>
  <c r="B9" i="35"/>
  <c r="F7" i="35"/>
  <c r="D7" i="35"/>
  <c r="B7" i="35"/>
  <c r="F5" i="35"/>
  <c r="D5" i="35"/>
  <c r="B5" i="35"/>
  <c r="E3" i="35"/>
  <c r="F3" i="35" s="1"/>
  <c r="C3" i="35"/>
  <c r="D3" i="35" s="1"/>
  <c r="E15" i="34"/>
  <c r="E14" i="34"/>
  <c r="E5" i="34"/>
  <c r="E17" i="34"/>
  <c r="C17" i="34"/>
  <c r="D17" i="34" s="1"/>
  <c r="E16" i="34"/>
  <c r="C16" i="34"/>
  <c r="D16" i="34" s="1"/>
  <c r="C15" i="34"/>
  <c r="D15" i="34" s="1"/>
  <c r="C14" i="34"/>
  <c r="D14" i="34" s="1"/>
  <c r="E11" i="34"/>
  <c r="F9" i="34"/>
  <c r="D9" i="34"/>
  <c r="B9" i="34"/>
  <c r="F7" i="34"/>
  <c r="D7" i="34"/>
  <c r="B7" i="34"/>
  <c r="F5" i="34"/>
  <c r="D5" i="34"/>
  <c r="B5" i="34"/>
  <c r="E3" i="34"/>
  <c r="F3" i="34" s="1"/>
  <c r="C3" i="34"/>
  <c r="D3" i="34" s="1"/>
  <c r="E17" i="32"/>
  <c r="E16" i="32"/>
  <c r="E16" i="33"/>
  <c r="E17" i="33"/>
  <c r="E15" i="33"/>
  <c r="E14" i="33"/>
  <c r="E5" i="33"/>
  <c r="C17" i="33"/>
  <c r="D17" i="33" s="1"/>
  <c r="C16" i="33"/>
  <c r="D16" i="33" s="1"/>
  <c r="C15" i="33"/>
  <c r="D15" i="33" s="1"/>
  <c r="C14" i="33"/>
  <c r="D14" i="33" s="1"/>
  <c r="E11" i="33"/>
  <c r="F9" i="33"/>
  <c r="D9" i="33"/>
  <c r="B9" i="33"/>
  <c r="F7" i="33"/>
  <c r="D7" i="33"/>
  <c r="B7" i="33"/>
  <c r="F5" i="33"/>
  <c r="D5" i="33"/>
  <c r="B5" i="33"/>
  <c r="F3" i="33"/>
  <c r="C3" i="33"/>
  <c r="D3" i="33" s="1"/>
  <c r="E15" i="32"/>
  <c r="E14" i="32"/>
  <c r="E5" i="32"/>
  <c r="C17" i="32"/>
  <c r="D17" i="32" s="1"/>
  <c r="C16" i="32"/>
  <c r="D16" i="32" s="1"/>
  <c r="C15" i="32"/>
  <c r="D15" i="32" s="1"/>
  <c r="C14" i="32"/>
  <c r="D14" i="32" s="1"/>
  <c r="E11" i="32"/>
  <c r="F9" i="32"/>
  <c r="D9" i="32"/>
  <c r="B9" i="32"/>
  <c r="F7" i="32"/>
  <c r="D7" i="32"/>
  <c r="B7" i="32"/>
  <c r="F5" i="32"/>
  <c r="D5" i="32"/>
  <c r="B5" i="32"/>
  <c r="E3" i="32"/>
  <c r="F3" i="32" s="1"/>
  <c r="C3" i="32"/>
  <c r="D3" i="32" s="1"/>
  <c r="E17" i="26"/>
  <c r="E17" i="25"/>
  <c r="E17" i="24"/>
  <c r="E16" i="25"/>
  <c r="E16" i="20"/>
  <c r="E17" i="21"/>
  <c r="E16" i="21"/>
  <c r="E17" i="22"/>
  <c r="E16" i="22"/>
  <c r="E17" i="31"/>
  <c r="E16" i="31"/>
  <c r="E17" i="30"/>
  <c r="E16" i="30"/>
  <c r="E16" i="26"/>
  <c r="E16" i="24"/>
  <c r="E16" i="23"/>
  <c r="E17" i="23"/>
  <c r="E15" i="31"/>
  <c r="E14" i="31"/>
  <c r="E5" i="31"/>
  <c r="C17" i="31"/>
  <c r="D17" i="31" s="1"/>
  <c r="C16" i="31"/>
  <c r="D16" i="31" s="1"/>
  <c r="C15" i="31"/>
  <c r="D15" i="31" s="1"/>
  <c r="C14" i="31"/>
  <c r="D14" i="31" s="1"/>
  <c r="E11" i="31"/>
  <c r="F9" i="31"/>
  <c r="D9" i="31"/>
  <c r="B9" i="31"/>
  <c r="F7" i="31"/>
  <c r="D7" i="31"/>
  <c r="B7" i="31"/>
  <c r="F5" i="31"/>
  <c r="D5" i="31"/>
  <c r="B5" i="31"/>
  <c r="E3" i="31"/>
  <c r="F3" i="31" s="1"/>
  <c r="C3" i="31"/>
  <c r="D3" i="31" s="1"/>
  <c r="E11" i="30"/>
  <c r="E14" i="30"/>
  <c r="E5" i="30"/>
  <c r="E3" i="30"/>
  <c r="C17" i="30"/>
  <c r="D17" i="30" s="1"/>
  <c r="C16" i="30"/>
  <c r="D16" i="30" s="1"/>
  <c r="E15" i="30"/>
  <c r="C15" i="30"/>
  <c r="D15" i="30" s="1"/>
  <c r="C14" i="30"/>
  <c r="D14" i="30" s="1"/>
  <c r="F9" i="30"/>
  <c r="D9" i="30"/>
  <c r="B9" i="30"/>
  <c r="F7" i="30"/>
  <c r="D7" i="30"/>
  <c r="B7" i="30"/>
  <c r="F5" i="30"/>
  <c r="D5" i="30"/>
  <c r="B5" i="30"/>
  <c r="F3" i="30"/>
  <c r="C3" i="30"/>
  <c r="D3" i="30" s="1"/>
  <c r="E14" i="27"/>
  <c r="E14" i="28"/>
  <c r="E5" i="28"/>
  <c r="E3" i="28"/>
  <c r="E17" i="28"/>
  <c r="C17" i="28"/>
  <c r="D17" i="28" s="1"/>
  <c r="E16" i="28"/>
  <c r="C16" i="28"/>
  <c r="D16" i="28" s="1"/>
  <c r="E15" i="28"/>
  <c r="C15" i="28"/>
  <c r="D15" i="28" s="1"/>
  <c r="C14" i="28"/>
  <c r="D14" i="28" s="1"/>
  <c r="E11" i="28"/>
  <c r="F9" i="28"/>
  <c r="D9" i="28"/>
  <c r="B9" i="28"/>
  <c r="F7" i="28"/>
  <c r="D7" i="28"/>
  <c r="B7" i="28"/>
  <c r="F5" i="28"/>
  <c r="D5" i="28"/>
  <c r="B5" i="28"/>
  <c r="F3" i="28"/>
  <c r="C3" i="28"/>
  <c r="D3" i="28" s="1"/>
  <c r="E15" i="27"/>
  <c r="E11" i="27"/>
  <c r="E5" i="27"/>
  <c r="E3" i="27"/>
  <c r="E17" i="27"/>
  <c r="C17" i="27"/>
  <c r="D17" i="27" s="1"/>
  <c r="E16" i="27"/>
  <c r="C16" i="27"/>
  <c r="D16" i="27" s="1"/>
  <c r="C15" i="27"/>
  <c r="D15" i="27" s="1"/>
  <c r="C14" i="27"/>
  <c r="D14" i="27" s="1"/>
  <c r="F9" i="27"/>
  <c r="D9" i="27"/>
  <c r="B9" i="27"/>
  <c r="F7" i="27"/>
  <c r="D7" i="27"/>
  <c r="B7" i="27"/>
  <c r="F5" i="27"/>
  <c r="D5" i="27"/>
  <c r="B5" i="27"/>
  <c r="F3" i="27"/>
  <c r="C3" i="27"/>
  <c r="D3" i="27" s="1"/>
  <c r="F3" i="2"/>
  <c r="E5" i="26"/>
  <c r="E3" i="26"/>
  <c r="E14" i="26"/>
  <c r="E15" i="26"/>
  <c r="C17" i="26"/>
  <c r="D17" i="26" s="1"/>
  <c r="C16" i="26"/>
  <c r="D16" i="26" s="1"/>
  <c r="C15" i="26"/>
  <c r="D15" i="26" s="1"/>
  <c r="C14" i="26"/>
  <c r="D14" i="26" s="1"/>
  <c r="E11" i="26"/>
  <c r="F9" i="26"/>
  <c r="D9" i="26"/>
  <c r="B9" i="26"/>
  <c r="F7" i="26"/>
  <c r="D7" i="26"/>
  <c r="B7" i="26"/>
  <c r="F5" i="26"/>
  <c r="D5" i="26"/>
  <c r="B5" i="26"/>
  <c r="F3" i="26"/>
  <c r="C3" i="26"/>
  <c r="D3" i="26" s="1"/>
  <c r="E15" i="25"/>
  <c r="E14" i="25"/>
  <c r="E5" i="25"/>
  <c r="E3" i="25"/>
  <c r="C17" i="25"/>
  <c r="D17" i="25" s="1"/>
  <c r="C16" i="25"/>
  <c r="D16" i="25" s="1"/>
  <c r="C15" i="25"/>
  <c r="D15" i="25" s="1"/>
  <c r="C14" i="25"/>
  <c r="D14" i="25" s="1"/>
  <c r="E11" i="25"/>
  <c r="F9" i="25"/>
  <c r="D9" i="25"/>
  <c r="B9" i="25"/>
  <c r="F7" i="25"/>
  <c r="D7" i="25"/>
  <c r="B7" i="25"/>
  <c r="F5" i="25"/>
  <c r="D5" i="25"/>
  <c r="B5" i="25"/>
  <c r="F3" i="25"/>
  <c r="C3" i="25"/>
  <c r="D3" i="25" s="1"/>
  <c r="E14" i="24"/>
  <c r="E5" i="24"/>
  <c r="E3" i="24"/>
  <c r="C17" i="24"/>
  <c r="D17" i="24" s="1"/>
  <c r="C16" i="24"/>
  <c r="D16" i="24" s="1"/>
  <c r="E15" i="24"/>
  <c r="C15" i="24"/>
  <c r="D15" i="24" s="1"/>
  <c r="C14" i="24"/>
  <c r="D14" i="24" s="1"/>
  <c r="E11" i="24"/>
  <c r="F9" i="24"/>
  <c r="D9" i="24"/>
  <c r="B9" i="24"/>
  <c r="F7" i="24"/>
  <c r="D7" i="24"/>
  <c r="B7" i="24"/>
  <c r="F5" i="24"/>
  <c r="D5" i="24"/>
  <c r="B5" i="24"/>
  <c r="F3" i="24"/>
  <c r="C3" i="24"/>
  <c r="D3" i="24" s="1"/>
  <c r="F17" i="23"/>
  <c r="E15" i="23"/>
  <c r="E14" i="23"/>
  <c r="E5" i="23"/>
  <c r="E3" i="23"/>
  <c r="C17" i="23"/>
  <c r="D17" i="23" s="1"/>
  <c r="C16" i="23"/>
  <c r="D16" i="23" s="1"/>
  <c r="C15" i="23"/>
  <c r="D15" i="23" s="1"/>
  <c r="C14" i="23"/>
  <c r="D14" i="23" s="1"/>
  <c r="E11" i="23"/>
  <c r="F9" i="23"/>
  <c r="D9" i="23"/>
  <c r="B9" i="23"/>
  <c r="F7" i="23"/>
  <c r="D7" i="23"/>
  <c r="B7" i="23"/>
  <c r="F5" i="23"/>
  <c r="D5" i="23"/>
  <c r="B5" i="23"/>
  <c r="F3" i="23"/>
  <c r="C3" i="23"/>
  <c r="D3" i="23" s="1"/>
  <c r="E15" i="22"/>
  <c r="E14" i="22"/>
  <c r="E5" i="22"/>
  <c r="E3" i="22"/>
  <c r="C17" i="22"/>
  <c r="D17" i="22" s="1"/>
  <c r="C16" i="22"/>
  <c r="D16" i="22" s="1"/>
  <c r="C15" i="22"/>
  <c r="D15" i="22" s="1"/>
  <c r="C14" i="22"/>
  <c r="D14" i="22" s="1"/>
  <c r="E11" i="22"/>
  <c r="F9" i="22"/>
  <c r="D9" i="22"/>
  <c r="B9" i="22"/>
  <c r="F7" i="22"/>
  <c r="D7" i="22"/>
  <c r="B7" i="22"/>
  <c r="F5" i="22"/>
  <c r="D5" i="22"/>
  <c r="B5" i="22"/>
  <c r="F3" i="22"/>
  <c r="C3" i="22"/>
  <c r="D3" i="22" s="1"/>
  <c r="E11" i="21"/>
  <c r="E15" i="21"/>
  <c r="E14" i="21"/>
  <c r="E5" i="21"/>
  <c r="E3" i="21"/>
  <c r="C17" i="21"/>
  <c r="D17" i="21" s="1"/>
  <c r="C16" i="21"/>
  <c r="D16" i="21" s="1"/>
  <c r="C15" i="21"/>
  <c r="D15" i="21" s="1"/>
  <c r="C14" i="21"/>
  <c r="D14" i="21" s="1"/>
  <c r="F9" i="21"/>
  <c r="D9" i="21"/>
  <c r="B9" i="21"/>
  <c r="F7" i="21"/>
  <c r="D7" i="21"/>
  <c r="B7" i="21"/>
  <c r="F5" i="21"/>
  <c r="D5" i="21"/>
  <c r="B5" i="21"/>
  <c r="F3" i="21"/>
  <c r="C3" i="21"/>
  <c r="D3" i="21" s="1"/>
  <c r="E17" i="20"/>
  <c r="E15" i="20"/>
  <c r="E14" i="20"/>
  <c r="E5" i="20"/>
  <c r="E3" i="20"/>
  <c r="C17" i="20"/>
  <c r="D17" i="20" s="1"/>
  <c r="C16" i="20"/>
  <c r="D16" i="20" s="1"/>
  <c r="C15" i="20"/>
  <c r="D15" i="20" s="1"/>
  <c r="C14" i="20"/>
  <c r="D14" i="20" s="1"/>
  <c r="F9" i="20"/>
  <c r="D9" i="20"/>
  <c r="B9" i="20"/>
  <c r="F7" i="20"/>
  <c r="D7" i="20"/>
  <c r="B7" i="20"/>
  <c r="F5" i="20"/>
  <c r="D5" i="20"/>
  <c r="B5" i="20"/>
  <c r="F3" i="20"/>
  <c r="C3" i="20"/>
  <c r="D3" i="20" s="1"/>
  <c r="E17" i="19"/>
  <c r="E16" i="19"/>
  <c r="E16" i="18"/>
  <c r="E17" i="18"/>
  <c r="E3" i="18"/>
  <c r="E15" i="19"/>
  <c r="E14" i="19"/>
  <c r="E5" i="19"/>
  <c r="E3" i="19"/>
  <c r="C17" i="19"/>
  <c r="D17" i="19" s="1"/>
  <c r="C16" i="19"/>
  <c r="D16" i="19" s="1"/>
  <c r="C15" i="19"/>
  <c r="D15" i="19" s="1"/>
  <c r="C14" i="19"/>
  <c r="D14" i="19" s="1"/>
  <c r="F9" i="19"/>
  <c r="D9" i="19"/>
  <c r="B9" i="19"/>
  <c r="F7" i="19"/>
  <c r="D7" i="19"/>
  <c r="B7" i="19"/>
  <c r="F5" i="19"/>
  <c r="D5" i="19"/>
  <c r="B5" i="19"/>
  <c r="F3" i="19"/>
  <c r="C3" i="19"/>
  <c r="D3" i="19" s="1"/>
  <c r="E15" i="18"/>
  <c r="E14" i="18"/>
  <c r="E5" i="18"/>
  <c r="C17" i="18"/>
  <c r="D17" i="18" s="1"/>
  <c r="C16" i="18"/>
  <c r="D16" i="18" s="1"/>
  <c r="C15" i="18"/>
  <c r="D15" i="18" s="1"/>
  <c r="C14" i="18"/>
  <c r="D14" i="18" s="1"/>
  <c r="F9" i="18"/>
  <c r="D9" i="18"/>
  <c r="B9" i="18"/>
  <c r="F7" i="18"/>
  <c r="D7" i="18"/>
  <c r="B7" i="18"/>
  <c r="F5" i="18"/>
  <c r="D5" i="18"/>
  <c r="B5" i="18"/>
  <c r="F3" i="18"/>
  <c r="C3" i="18"/>
  <c r="D3" i="18" s="1"/>
  <c r="E5" i="10"/>
  <c r="E3" i="10"/>
  <c r="E14" i="11"/>
  <c r="E5" i="11"/>
  <c r="E3" i="11"/>
  <c r="E15" i="12"/>
  <c r="E14" i="12"/>
  <c r="E5" i="12"/>
  <c r="E3" i="12"/>
  <c r="E15" i="13"/>
  <c r="E14" i="13"/>
  <c r="E5" i="13"/>
  <c r="E3" i="13"/>
  <c r="E15" i="14"/>
  <c r="E14" i="14"/>
  <c r="E5" i="14"/>
  <c r="E3" i="14"/>
  <c r="E15" i="15"/>
  <c r="E14" i="15"/>
  <c r="E5" i="15"/>
  <c r="E3" i="15"/>
  <c r="E16" i="16"/>
  <c r="E15" i="16"/>
  <c r="E14" i="16"/>
  <c r="E5" i="16"/>
  <c r="E3" i="16"/>
  <c r="E17" i="5"/>
  <c r="E16" i="5"/>
  <c r="E15" i="5"/>
  <c r="E14" i="5"/>
  <c r="E5" i="5"/>
  <c r="E3" i="5"/>
  <c r="E3" i="2"/>
  <c r="E17" i="16"/>
  <c r="C17" i="16"/>
  <c r="D17" i="16" s="1"/>
  <c r="C16" i="16"/>
  <c r="D16" i="16" s="1"/>
  <c r="C15" i="16"/>
  <c r="D15" i="16" s="1"/>
  <c r="C14" i="16"/>
  <c r="D14" i="16" s="1"/>
  <c r="F9" i="16"/>
  <c r="D9" i="16"/>
  <c r="B9" i="16"/>
  <c r="F7" i="16"/>
  <c r="D7" i="16"/>
  <c r="B7" i="16"/>
  <c r="F5" i="16"/>
  <c r="D5" i="16"/>
  <c r="B5" i="16"/>
  <c r="F3" i="16"/>
  <c r="C3" i="16"/>
  <c r="D3" i="16" s="1"/>
  <c r="E17" i="15"/>
  <c r="C17" i="15"/>
  <c r="D17" i="15" s="1"/>
  <c r="E16" i="15"/>
  <c r="C16" i="15"/>
  <c r="D16" i="15" s="1"/>
  <c r="C15" i="15"/>
  <c r="D15" i="15" s="1"/>
  <c r="C14" i="15"/>
  <c r="D14" i="15" s="1"/>
  <c r="F9" i="15"/>
  <c r="D9" i="15"/>
  <c r="B9" i="15"/>
  <c r="F7" i="15"/>
  <c r="D7" i="15"/>
  <c r="B7" i="15"/>
  <c r="F5" i="15"/>
  <c r="D5" i="15"/>
  <c r="B5" i="15"/>
  <c r="F3" i="15"/>
  <c r="C3" i="15"/>
  <c r="D3" i="15" s="1"/>
  <c r="E17" i="14"/>
  <c r="C17" i="14"/>
  <c r="D17" i="14" s="1"/>
  <c r="E16" i="14"/>
  <c r="C16" i="14"/>
  <c r="D16" i="14" s="1"/>
  <c r="C15" i="14"/>
  <c r="D15" i="14" s="1"/>
  <c r="C14" i="14"/>
  <c r="D14" i="14" s="1"/>
  <c r="F9" i="14"/>
  <c r="D9" i="14"/>
  <c r="B9" i="14"/>
  <c r="F7" i="14"/>
  <c r="D7" i="14"/>
  <c r="B7" i="14"/>
  <c r="F5" i="14"/>
  <c r="D5" i="14"/>
  <c r="B5" i="14"/>
  <c r="F3" i="14"/>
  <c r="C3" i="14"/>
  <c r="D3" i="14" s="1"/>
  <c r="E17" i="13"/>
  <c r="C17" i="13"/>
  <c r="D17" i="13" s="1"/>
  <c r="E16" i="13"/>
  <c r="C16" i="13"/>
  <c r="D16" i="13" s="1"/>
  <c r="C15" i="13"/>
  <c r="D15" i="13" s="1"/>
  <c r="C14" i="13"/>
  <c r="D14" i="13" s="1"/>
  <c r="F9" i="13"/>
  <c r="D9" i="13"/>
  <c r="B9" i="13"/>
  <c r="F7" i="13"/>
  <c r="D7" i="13"/>
  <c r="B7" i="13"/>
  <c r="F5" i="13"/>
  <c r="D5" i="13"/>
  <c r="B5" i="13"/>
  <c r="F3" i="13"/>
  <c r="C3" i="13"/>
  <c r="D3" i="13" s="1"/>
  <c r="E17" i="12"/>
  <c r="C17" i="12"/>
  <c r="D17" i="12" s="1"/>
  <c r="E16" i="12"/>
  <c r="C16" i="12"/>
  <c r="D16" i="12" s="1"/>
  <c r="C15" i="12"/>
  <c r="D15" i="12" s="1"/>
  <c r="C14" i="12"/>
  <c r="D14" i="12" s="1"/>
  <c r="F9" i="12"/>
  <c r="D9" i="12"/>
  <c r="B9" i="12"/>
  <c r="F7" i="12"/>
  <c r="D7" i="12"/>
  <c r="B7" i="12"/>
  <c r="F5" i="12"/>
  <c r="D5" i="12"/>
  <c r="B5" i="12"/>
  <c r="F3" i="12"/>
  <c r="C3" i="12"/>
  <c r="D3" i="12" s="1"/>
  <c r="E17" i="11"/>
  <c r="C17" i="11"/>
  <c r="D17" i="11" s="1"/>
  <c r="E16" i="11"/>
  <c r="C16" i="11"/>
  <c r="D16" i="11" s="1"/>
  <c r="E15" i="11"/>
  <c r="C15" i="11"/>
  <c r="D15" i="11" s="1"/>
  <c r="C14" i="11"/>
  <c r="D14" i="11" s="1"/>
  <c r="F9" i="11"/>
  <c r="D9" i="11"/>
  <c r="B9" i="11"/>
  <c r="F7" i="11"/>
  <c r="D7" i="11"/>
  <c r="B7" i="11"/>
  <c r="F5" i="11"/>
  <c r="D5" i="11"/>
  <c r="B5" i="11"/>
  <c r="F3" i="11"/>
  <c r="C3" i="11"/>
  <c r="D3" i="11" s="1"/>
  <c r="E17" i="10"/>
  <c r="C17" i="10"/>
  <c r="D17" i="10" s="1"/>
  <c r="E16" i="10"/>
  <c r="C16" i="10"/>
  <c r="D16" i="10" s="1"/>
  <c r="E15" i="10"/>
  <c r="C15" i="10"/>
  <c r="D15" i="10" s="1"/>
  <c r="E14" i="10"/>
  <c r="C14" i="10"/>
  <c r="D14" i="10" s="1"/>
  <c r="F9" i="10"/>
  <c r="D9" i="10"/>
  <c r="B9" i="10"/>
  <c r="F7" i="10"/>
  <c r="D7" i="10"/>
  <c r="B7" i="10"/>
  <c r="F5" i="10"/>
  <c r="D5" i="10"/>
  <c r="B5" i="10"/>
  <c r="F3" i="10"/>
  <c r="C3" i="10"/>
  <c r="D3" i="10" s="1"/>
  <c r="C17" i="5"/>
  <c r="D17" i="5" s="1"/>
  <c r="C16" i="5"/>
  <c r="D16" i="5" s="1"/>
  <c r="C15" i="5"/>
  <c r="D15" i="5" s="1"/>
  <c r="C14" i="5"/>
  <c r="D14" i="5" s="1"/>
  <c r="F9" i="5"/>
  <c r="D9" i="5"/>
  <c r="B9" i="5"/>
  <c r="F7" i="5"/>
  <c r="D7" i="5"/>
  <c r="B7" i="5"/>
  <c r="F5" i="5"/>
  <c r="D5" i="5"/>
  <c r="B5" i="5"/>
  <c r="F3" i="5"/>
  <c r="C3" i="5"/>
  <c r="D3" i="5" s="1"/>
  <c r="E17" i="2"/>
  <c r="E16" i="2"/>
  <c r="E15" i="2"/>
  <c r="E14" i="2"/>
  <c r="E5" i="2"/>
  <c r="C17" i="2"/>
  <c r="D17" i="2" s="1"/>
  <c r="C16" i="2"/>
  <c r="D16" i="2" s="1"/>
  <c r="C15" i="2"/>
  <c r="D15" i="2" s="1"/>
  <c r="C14" i="2"/>
  <c r="D14" i="2" s="1"/>
  <c r="F9" i="2"/>
  <c r="D9" i="2"/>
  <c r="B9" i="2"/>
  <c r="F7" i="2"/>
  <c r="D7" i="2"/>
  <c r="B7" i="2"/>
  <c r="F5" i="2"/>
  <c r="D5" i="2"/>
  <c r="B5" i="2"/>
  <c r="C3" i="2"/>
  <c r="D3" i="2" s="1"/>
  <c r="F14" i="44" l="1"/>
  <c r="F15" i="44"/>
  <c r="F16" i="44"/>
  <c r="F17" i="44"/>
  <c r="F14" i="43"/>
  <c r="F15" i="43"/>
  <c r="F16" i="43"/>
  <c r="F17" i="43"/>
  <c r="F14" i="42"/>
  <c r="F15" i="42"/>
  <c r="F16" i="42"/>
  <c r="F17" i="42"/>
  <c r="F14" i="41"/>
  <c r="F15" i="41"/>
  <c r="F16" i="41"/>
  <c r="F14" i="40"/>
  <c r="F15" i="40"/>
  <c r="F16" i="40"/>
  <c r="F17" i="40"/>
  <c r="F14" i="39"/>
  <c r="F15" i="39"/>
  <c r="F16" i="39"/>
  <c r="F17" i="39"/>
  <c r="F14" i="38"/>
  <c r="F15" i="38"/>
  <c r="F16" i="38"/>
  <c r="F17" i="38"/>
  <c r="F14" i="37"/>
  <c r="F15" i="37"/>
  <c r="F16" i="37"/>
  <c r="F17" i="37"/>
  <c r="F14" i="36"/>
  <c r="F15" i="36"/>
  <c r="F16" i="36"/>
  <c r="F17" i="36"/>
  <c r="F14" i="35"/>
  <c r="F15" i="35"/>
  <c r="F16" i="35"/>
  <c r="F17" i="35"/>
  <c r="F14" i="34"/>
  <c r="F15" i="34"/>
  <c r="F16" i="34"/>
  <c r="F17" i="34"/>
  <c r="F14" i="33"/>
  <c r="F15" i="33"/>
  <c r="F16" i="33"/>
  <c r="F17" i="33"/>
  <c r="F14" i="32"/>
  <c r="F15" i="32"/>
  <c r="F16" i="32"/>
  <c r="F17" i="32"/>
  <c r="F14" i="31"/>
  <c r="F15" i="31"/>
  <c r="F16" i="31"/>
  <c r="F17" i="31"/>
  <c r="F14" i="30"/>
  <c r="F15" i="30"/>
  <c r="F16" i="30"/>
  <c r="F17" i="30"/>
  <c r="F14" i="28"/>
  <c r="F15" i="28"/>
  <c r="F16" i="28"/>
  <c r="F17" i="28"/>
  <c r="F14" i="27"/>
  <c r="F15" i="27"/>
  <c r="F16" i="27"/>
  <c r="F17" i="27"/>
  <c r="F14" i="26"/>
  <c r="F15" i="26"/>
  <c r="F16" i="26"/>
  <c r="F17" i="26"/>
  <c r="F14" i="25"/>
  <c r="F15" i="25"/>
  <c r="F16" i="25"/>
  <c r="F17" i="25"/>
  <c r="F14" i="24"/>
  <c r="F15" i="24"/>
  <c r="F16" i="24"/>
  <c r="F17" i="24"/>
  <c r="F14" i="23"/>
  <c r="F15" i="23"/>
  <c r="F16" i="23"/>
  <c r="F14" i="22"/>
  <c r="F15" i="22"/>
  <c r="F16" i="22"/>
  <c r="F17" i="22"/>
  <c r="F14" i="21"/>
  <c r="F15" i="21"/>
  <c r="F16" i="21"/>
  <c r="F17" i="21"/>
  <c r="F14" i="20"/>
  <c r="F15" i="20"/>
  <c r="F16" i="20"/>
  <c r="F17" i="20"/>
  <c r="F14" i="19"/>
  <c r="F15" i="19"/>
  <c r="F16" i="19"/>
  <c r="F17" i="19"/>
  <c r="F14" i="18"/>
  <c r="F15" i="18"/>
  <c r="F16" i="18"/>
  <c r="F17" i="18"/>
  <c r="F14" i="16"/>
  <c r="F15" i="16"/>
  <c r="F16" i="16"/>
  <c r="F17" i="16"/>
  <c r="F14" i="15"/>
  <c r="F15" i="15"/>
  <c r="F16" i="15"/>
  <c r="F17" i="15"/>
  <c r="F14" i="14"/>
  <c r="F15" i="14"/>
  <c r="F16" i="14"/>
  <c r="F17" i="14"/>
  <c r="F14" i="13"/>
  <c r="F15" i="13"/>
  <c r="F16" i="13"/>
  <c r="F17" i="13"/>
  <c r="F14" i="12"/>
  <c r="F15" i="12"/>
  <c r="F16" i="12"/>
  <c r="F17" i="12"/>
  <c r="F14" i="11"/>
  <c r="F15" i="11"/>
  <c r="F16" i="11"/>
  <c r="F17" i="11"/>
  <c r="F14" i="10"/>
  <c r="F15" i="10"/>
  <c r="F16" i="10"/>
  <c r="F17" i="10"/>
  <c r="F14" i="5"/>
  <c r="F15" i="5"/>
  <c r="F16" i="5"/>
  <c r="F17" i="5"/>
  <c r="F14" i="2"/>
  <c r="F15" i="2"/>
  <c r="F16" i="2"/>
  <c r="F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tc={8E8B18B6-D628-4B5C-8BBB-5F03BD5EA85F}</author>
    <author>tc={D9EDFAA3-3796-4B45-96A8-53DCB779E0B2}</author>
    <author>tc={BD4BBF94-98E4-416A-BE3F-C3F4D2DFECA1}</author>
    <author>tc={B27C0706-6E64-4350-A2F4-1BBC211876F6}</author>
  </authors>
  <commentList>
    <comment ref="C3" authorId="0" shapeId="0" xr:uid="{8E8B18B6-D628-4B5C-8BBB-5F03BD5EA8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D9EDFAA3-3796-4B45-96A8-53DCB779E0B2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BD4BBF94-98E4-416A-BE3F-C3F4D2DFECA1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B27C0706-6E64-4350-A2F4-1BBC211876F6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tc={1D5D7836-805E-463D-925A-1C938BBAE493}</author>
    <author>tc={890AE3B3-ED66-4BDA-B5BF-FAA671C2E9EC}</author>
    <author>tc={E29BEFF1-B383-4E60-A97D-85FBB3B7FED5}</author>
    <author>tc={530EB587-F54A-4EC7-BAF3-3083EFDBCCB4}</author>
  </authors>
  <commentList>
    <comment ref="C3" authorId="0" shapeId="0" xr:uid="{1D5D7836-805E-463D-925A-1C938BBAE4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890AE3B3-ED66-4BDA-B5BF-FAA671C2E9EC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E29BEFF1-B383-4E60-A97D-85FBB3B7FED5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530EB587-F54A-4EC7-BAF3-3083EFDBCCB4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tc={BCDE9836-0BD2-4249-8338-90D29BFD4C68}</author>
    <author>tc={9DB94067-9C64-485F-8178-9D363C9FA1F1}</author>
    <author>tc={E3CD7ED5-36AF-48E9-B999-1FB23EE8144A}</author>
    <author>tc={6DA946DD-580C-4A11-A0F5-A62F8DC73299}</author>
  </authors>
  <commentList>
    <comment ref="C3" authorId="0" shapeId="0" xr:uid="{BCDE9836-0BD2-4249-8338-90D29BFD4C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9DB94067-9C64-485F-8178-9D363C9FA1F1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E3CD7ED5-36AF-48E9-B999-1FB23EE8144A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6DA946DD-580C-4A11-A0F5-A62F8DC73299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tc={24D87851-7BAB-45E9-862B-23472921CF55}</author>
    <author>tc={0BF921BF-F5FC-4AFF-A342-76581CF6BE07}</author>
    <author>tc={87E27F2D-8861-4748-A3BA-EDB2F615A9BA}</author>
    <author>tc={F577677C-D4B7-4160-99E1-5760CFCFE7FE}</author>
  </authors>
  <commentList>
    <comment ref="C3" authorId="0" shapeId="0" xr:uid="{24D87851-7BAB-45E9-862B-23472921CF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0BF921BF-F5FC-4AFF-A342-76581CF6BE07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87E27F2D-8861-4748-A3BA-EDB2F615A9BA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F577677C-D4B7-4160-99E1-5760CFCFE7FE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tc={FFF2B9FF-86EE-43C0-8E55-7B6898EC68AF}</author>
    <author>tc={28373151-350B-4E40-BBDB-8385361B0411}</author>
    <author>tc={A6D9043D-FE4A-4B72-8997-8354FA0616B6}</author>
    <author>tc={1D7EFD25-B6D7-46CC-B830-99E77445E4E9}</author>
  </authors>
  <commentList>
    <comment ref="C3" authorId="0" shapeId="0" xr:uid="{FFF2B9FF-86EE-43C0-8E55-7B6898EC68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28373151-350B-4E40-BBDB-8385361B0411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A6D9043D-FE4A-4B72-8997-8354FA0616B6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1D7EFD25-B6D7-46CC-B830-99E77445E4E9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tc={F99F6DA3-657C-493A-A29A-A2C8CC333855}</author>
    <author>tc={E93B61AB-038F-4115-9DB8-D87E8C7F646A}</author>
    <author>tc={E4CD6F28-ABCA-4569-AAFC-6340CDE624B6}</author>
    <author>tc={9CB603BC-642F-4164-9C98-D6D8962CB1F5}</author>
  </authors>
  <commentList>
    <comment ref="C3" authorId="0" shapeId="0" xr:uid="{F99F6DA3-657C-493A-A29A-A2C8CC3338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E93B61AB-038F-4115-9DB8-D87E8C7F646A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E4CD6F28-ABCA-4569-AAFC-6340CDE624B6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9CB603BC-642F-4164-9C98-D6D8962CB1F5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tc={6DA396F5-7047-47C5-AC0A-979E5A1DCD43}</author>
    <author>tc={12A9DD79-F306-4D2D-90A4-1B55F367C246}</author>
    <author>tc={1A31774E-8A3F-4B71-A53F-5F9F1D8163B1}</author>
    <author>tc={5872466F-4C56-4937-BA5F-8A93DD6F1035}</author>
  </authors>
  <commentList>
    <comment ref="C3" authorId="0" shapeId="0" xr:uid="{6DA396F5-7047-47C5-AC0A-979E5A1DCD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12A9DD79-F306-4D2D-90A4-1B55F367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1A31774E-8A3F-4B71-A53F-5F9F1D8163B1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5872466F-4C56-4937-BA5F-8A93DD6F1035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tc={C1A533ED-A099-4026-90C0-03E5674A491B}</author>
    <author>tc={1096B6CD-586C-442C-A63B-8A759CE8754A}</author>
    <author>tc={BB2BFFF6-8142-4BD2-B239-DA8FF0D51BEC}</author>
    <author>tc={F6BE9DDB-8997-4237-ABAD-0CF128DDA949}</author>
  </authors>
  <commentList>
    <comment ref="C3" authorId="0" shapeId="0" xr:uid="{C1A533ED-A099-4026-90C0-03E5674A49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1096B6CD-586C-442C-A63B-8A759CE8754A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BB2BFFF6-8142-4BD2-B239-DA8FF0D51BEC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F6BE9DDB-8997-4237-ABAD-0CF128DDA949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tc={653E084C-4AB5-489E-A279-1771E8CD6EDC}</author>
    <author>tc={5B214CEF-1AA8-4CAB-ABB3-1807F08512C0}</author>
    <author>tc={C2C782F5-6E41-4AD3-9CFF-A9E2758C1A11}</author>
    <author>tc={145ABE4D-B267-43CA-85BA-4511183B9043}</author>
  </authors>
  <commentList>
    <comment ref="C3" authorId="0" shapeId="0" xr:uid="{653E084C-4AB5-489E-A279-1771E8CD6E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5B214CEF-1AA8-4CAB-ABB3-1807F08512C0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C2C782F5-6E41-4AD3-9CFF-A9E2758C1A11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145ABE4D-B267-43CA-85BA-4511183B9043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tc={756203A2-2A28-4C9D-B2A8-2FE954AE3963}</author>
    <author>tc={F60F4701-01E0-42CD-AFB1-04E09A90E878}</author>
    <author>tc={2E8F1173-DE39-4C48-88F6-AFB20FD40800}</author>
    <author>tc={39C5551F-FE48-4160-99BB-D757F214A6D2}</author>
  </authors>
  <commentList>
    <comment ref="C3" authorId="0" shapeId="0" xr:uid="{756203A2-2A28-4C9D-B2A8-2FE954AE39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F60F4701-01E0-42CD-AFB1-04E09A90E878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2E8F1173-DE39-4C48-88F6-AFB20FD408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39C5551F-FE48-4160-99BB-D757F214A6D2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tc={88A10201-D9C0-4B95-8982-1BDF97FC78BB}</author>
    <author>tc={246AABBA-FAE3-4044-BDB5-1FE34EDE460D}</author>
    <author>tc={7346783D-FAAC-4153-8648-01ADD0A549E4}</author>
    <author>tc={CEABFE52-35D2-46F2-ADAD-BDBEF71AECC4}</author>
  </authors>
  <commentList>
    <comment ref="C3" authorId="0" shapeId="0" xr:uid="{88A10201-D9C0-4B95-8982-1BDF97FC7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246AABBA-FAE3-4044-BDB5-1FE34EDE460D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7346783D-FAAC-4153-8648-01ADD0A549E4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CEABFE52-35D2-46F2-ADAD-BDBEF71AECC4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tc={B296C2BA-3688-4A9E-BB73-C87913E1902A}</author>
    <author>tc={FCBED135-2664-4DB4-AE5A-67016E237F27}</author>
    <author>tc={2F5BC7B3-1D35-434D-AE7B-4C3EAB791AD0}</author>
    <author>tc={A55B3FB2-CC02-452A-A964-11E757F6577B}</author>
  </authors>
  <commentList>
    <comment ref="C3" authorId="0" shapeId="0" xr:uid="{B296C2BA-3688-4A9E-BB73-C87913E190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FCBED135-2664-4DB4-AE5A-67016E237F27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2F5BC7B3-1D35-434D-AE7B-4C3EAB791AD0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A55B3FB2-CC02-452A-A964-11E757F6577B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tc={E9A2FF63-5A7E-4B41-B0FE-B95FCE3A497E}</author>
    <author>tc={FD1E84EE-5349-447B-9BD8-B56DECEB6BE2}</author>
    <author>tc={300874E3-6D4C-40FD-BA6B-B10321F688BA}</author>
    <author>tc={D1E85E20-8A96-4705-A30B-855E0E38B0E1}</author>
  </authors>
  <commentList>
    <comment ref="C3" authorId="0" shapeId="0" xr:uid="{E9A2FF63-5A7E-4B41-B0FE-B95FCE3A49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FD1E84EE-5349-447B-9BD8-B56DECEB6BE2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300874E3-6D4C-40FD-BA6B-B10321F688BA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D1E85E20-8A96-4705-A30B-855E0E38B0E1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tc={17D5CAC9-7A64-4EE6-BF20-03E87C042C15}</author>
    <author>tc={A090EE99-6B52-444B-BA2A-40A9EB452A18}</author>
    <author>tc={A2702689-F2FC-486B-B7CC-4E82C45923DC}</author>
    <author>tc={5A231821-E02F-451A-BF0D-76FEFF7A98FE}</author>
  </authors>
  <commentList>
    <comment ref="C3" authorId="0" shapeId="0" xr:uid="{17D5CAC9-7A64-4EE6-BF20-03E87C042C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A090EE99-6B52-444B-BA2A-40A9EB452A18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A2702689-F2FC-486B-B7CC-4E82C45923DC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5A231821-E02F-451A-BF0D-76FEFF7A98FE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tc={E69B5032-3A71-4BC6-AEDA-1E4D124B34EC}</author>
    <author>tc={5D25EB72-F0C8-45B7-9A69-8400D75C7024}</author>
    <author>tc={BD869379-746F-4035-BF8C-710F69D8353F}</author>
    <author>tc={D21EA80E-D423-49CA-98CD-831CF54D335A}</author>
  </authors>
  <commentList>
    <comment ref="C3" authorId="0" shapeId="0" xr:uid="{E69B5032-3A71-4BC6-AEDA-1E4D124B34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5D25EB72-F0C8-45B7-9A69-8400D75C7024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BD869379-746F-4035-BF8C-710F69D8353F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D21EA80E-D423-49CA-98CD-831CF54D335A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tc={07428960-A033-4222-9AA2-F5C03B358561}</author>
    <author>tc={9E6F7B4E-8467-43F6-88C5-94B91DDE6EF8}</author>
    <author>tc={A500DF7B-CE23-4E73-9355-A577ACA80CDF}</author>
    <author>tc={C7A9D2BF-DC15-41D1-A15E-17ACD89A110E}</author>
  </authors>
  <commentList>
    <comment ref="C3" authorId="0" shapeId="0" xr:uid="{07428960-A033-4222-9AA2-F5C03B3585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9E6F7B4E-8467-43F6-88C5-94B91DDE6EF8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A500DF7B-CE23-4E73-9355-A577ACA80CDF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C7A9D2BF-DC15-41D1-A15E-17ACD89A110E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tc={D66D4104-5E3D-40ED-96B9-1B33EDB71F0F}</author>
    <author>tc={EF948CC3-4994-44C7-ABF0-C88D89791A3B}</author>
    <author>tc={2A80F23C-AF5C-4606-8C4D-1E0C868DD7FB}</author>
    <author>tc={271F028E-336C-4ED4-8003-6D44FA8BF656}</author>
  </authors>
  <commentList>
    <comment ref="C3" authorId="0" shapeId="0" xr:uid="{D66D4104-5E3D-40ED-96B9-1B33EDB71F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EF948CC3-4994-44C7-ABF0-C88D89791A3B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2A80F23C-AF5C-4606-8C4D-1E0C868DD7FB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271F028E-336C-4ED4-8003-6D44FA8B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tc={E2B39A47-F42F-41F4-AA13-2EEEAC61333F}</author>
    <author>tc={545EF2E7-AAE2-4B9C-A188-C6E6F7F2615E}</author>
    <author>tc={6700B234-CDAF-4DFC-ABD0-AC4AA26F4615}</author>
    <author>tc={A0E3DCC2-4D6E-4F63-9515-F052FEB6E84C}</author>
  </authors>
  <commentList>
    <comment ref="C3" authorId="0" shapeId="0" xr:uid="{E2B39A47-F42F-41F4-AA13-2EEEAC6133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545EF2E7-AAE2-4B9C-A188-C6E6F7F2615E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6700B234-CDAF-4DFC-ABD0-AC4AA26F4615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A0E3DCC2-4D6E-4F63-9515-F052FEB6E84C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tc={F0E51AD7-718B-45DE-9961-01F4F0C4AB83}</author>
    <author>tc={B37023FD-E5EA-4ACF-982D-16EA5E0D0105}</author>
    <author>tc={A0E32DE4-4464-4C55-B98B-CC4A8B816DC0}</author>
    <author>tc={10343D7C-AB90-443B-A4DC-EDEF13B4A1EE}</author>
  </authors>
  <commentList>
    <comment ref="C3" authorId="0" shapeId="0" xr:uid="{F0E51AD7-718B-45DE-9961-01F4F0C4AB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B37023FD-E5EA-4ACF-982D-16EA5E0D0105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A0E32DE4-4464-4C55-B98B-CC4A8B816DC0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10343D7C-AB90-443B-A4DC-EDEF13B4A1EE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tc={2131A390-D9EE-4D29-ACED-4FFF0B2B2717}</author>
    <author>tc={1DF7EC0A-CBA5-4F2A-BAC4-78AB02A8B8FA}</author>
    <author>tc={31E48C1E-942F-436A-963D-26857CBF1BA9}</author>
    <author>tc={8322656C-6232-4F20-B6B0-3F884619B1A4}</author>
  </authors>
  <commentList>
    <comment ref="C3" authorId="0" shapeId="0" xr:uid="{2131A390-D9EE-4D29-ACED-4FFF0B2B27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1DF7EC0A-CBA5-4F2A-BAC4-78AB02A8B8FA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31E48C1E-942F-436A-963D-26857CBF1BA9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8322656C-6232-4F20-B6B0-3F884619B1A4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tc={5234135B-714E-47B1-9F5D-80432D448791}</author>
    <author>tc={611EB873-EEEC-46B4-9EAE-E789482FC537}</author>
    <author>tc={B55CCBC8-0782-485A-AA2F-255E40D5CB97}</author>
    <author>tc={3D7825C4-98F0-45AE-893E-DBF09B93DDA4}</author>
  </authors>
  <commentList>
    <comment ref="C3" authorId="0" shapeId="0" xr:uid="{5234135B-714E-47B1-9F5D-80432D4487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611EB873-EEEC-46B4-9EAE-E789482FC537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B55CCBC8-0782-485A-AA2F-255E40D5CB97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3D7825C4-98F0-45AE-893E-DBF09B93DDA4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tc={78BD9C56-CFC0-4760-AC4E-D2809710D437}</author>
    <author>tc={44C2DB70-6D67-44F2-A5C8-3134F27F07AC}</author>
    <author>tc={D4FC76C3-2B9E-4799-8A8E-F30831308852}</author>
    <author>tc={DD66081F-F7D3-4CEA-BC17-6E1F8FB1001B}</author>
  </authors>
  <commentList>
    <comment ref="C3" authorId="0" shapeId="0" xr:uid="{78BD9C56-CFC0-4760-AC4E-D2809710D4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44C2DB70-6D67-44F2-A5C8-3134F27F07AC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D4FC76C3-2B9E-4799-8A8E-F30831308852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DD66081F-F7D3-4CEA-BC17-6E1F8FB1001B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tc={57FFDDE0-7D6E-48F9-837A-61A95579FE6F}</author>
    <author>tc={5B30C8A2-586F-4F60-987A-6002DF3D1E4B}</author>
    <author>tc={6A331FAF-2F89-44DB-9D0B-88FA07D7FD2B}</author>
    <author>tc={10DE8288-C944-49DF-9F2D-099777BBAA96}</author>
  </authors>
  <commentList>
    <comment ref="C3" authorId="0" shapeId="0" xr:uid="{57FFDDE0-7D6E-48F9-837A-61A95579FE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5B30C8A2-586F-4F60-987A-6002DF3D1E4B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6A331FAF-2F89-44DB-9D0B-88FA07D7FD2B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10DE8288-C944-49DF-9F2D-099777BBAA96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tc={4D35D7AC-F514-43AE-84E0-F91A34608A04}</author>
    <author>tc={B9172CF4-E812-45CE-8557-E30B8584BA81}</author>
    <author>tc={8CCF2697-23F3-4714-8A07-7401B73649AA}</author>
    <author>tc={9F88ECA6-3604-446C-BA87-3B57E38215A4}</author>
  </authors>
  <commentList>
    <comment ref="C3" authorId="0" shapeId="0" xr:uid="{4D35D7AC-F514-43AE-84E0-F91A34608A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B9172CF4-E812-45CE-8557-E30B8584BA81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8CCF2697-23F3-4714-8A07-7401B73649AA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9F88ECA6-3604-446C-BA87-3B57E38215A4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tc={EB35FB54-6957-45FC-B9F5-5C912C7246D3}</author>
    <author>tc={D85553E9-9EC6-4840-842C-9E8C7FF7C59C}</author>
    <author>tc={FD1A20FA-BDC8-44C9-8D43-ACB64583BD6B}</author>
    <author>tc={5381CC05-88AF-4B3C-A955-A7308215BACA}</author>
  </authors>
  <commentList>
    <comment ref="C3" authorId="0" shapeId="0" xr:uid="{EB35FB54-6957-45FC-B9F5-5C912C7246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D85553E9-9EC6-4840-842C-9E8C7FF7C59C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FD1A20FA-BDC8-44C9-8D43-ACB64583BD6B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5381CC05-88AF-4B3C-A955-A7308215BACA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tc={4FB7DD26-B39F-4FCC-BAF6-21E97BBB176C}</author>
    <author>tc={8D979072-728B-4DD1-A42D-33D55860CB9F}</author>
    <author>tc={325E29F8-9204-42BA-9188-948F42D627B1}</author>
    <author>tc={4BB6EEF3-720E-4A0C-A17A-63BEBCB86BF7}</author>
  </authors>
  <commentList>
    <comment ref="C3" authorId="0" shapeId="0" xr:uid="{4FB7DD26-B39F-4FCC-BAF6-21E97BBB17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8D979072-728B-4DD1-A42D-33D55860CB9F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325E29F8-9204-42BA-9188-948F42D627B1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4BB6EEF3-720E-4A0C-A17A-63BEBCB86BF7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tc={6DB8D398-4046-498F-94B9-A9AF619D0D18}</author>
    <author>tc={F61579CF-C6C0-4A5F-A956-BC028571AC2E}</author>
    <author>tc={5C111710-0231-460E-813E-E59E6A284775}</author>
    <author>tc={8B29171C-A6D0-474A-B2E9-EC22BB16C845}</author>
  </authors>
  <commentList>
    <comment ref="C3" authorId="0" shapeId="0" xr:uid="{6DB8D398-4046-498F-94B9-A9AF619D0D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F61579CF-C6C0-4A5F-A956-BC028571AC2E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5C111710-0231-460E-813E-E59E6A284775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8B29171C-A6D0-474A-B2E9-EC22BB16C845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tc={0657F395-3197-47B8-9607-C2DC5DA689C8}</author>
    <author>tc={8D9465FD-08DE-44F3-B6E1-091FF87CD211}</author>
    <author>tc={0D863C50-14A0-4408-82E0-E43490D3A447}</author>
    <author>tc={1B2D00C9-B079-46EC-9E15-0B2CBEB639DF}</author>
  </authors>
  <commentList>
    <comment ref="C3" authorId="0" shapeId="0" xr:uid="{0657F395-3197-47B8-9607-C2DC5DA689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8D9465FD-08DE-44F3-B6E1-091FF87CD211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0D863C50-14A0-4408-82E0-E43490D3A447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1B2D00C9-B079-46EC-9E15-0B2CBEB639DF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tc={F2F40878-EA53-4A7B-A936-76805C6489EF}</author>
    <author>tc={E105B896-6544-444A-B4F7-7C793E9C615E}</author>
    <author>tc={30FFD903-D9FD-4010-BED0-4F857E8C392D}</author>
    <author>tc={E895114E-FA34-43A0-8B4E-BEF39894376A}</author>
  </authors>
  <commentList>
    <comment ref="C3" authorId="0" shapeId="0" xr:uid="{F2F40878-EA53-4A7B-A936-76805C6489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E105B896-6544-444A-B4F7-7C793E9C615E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30FFD903-D9FD-4010-BED0-4F857E8C392D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E895114E-FA34-43A0-8B4E-BEF39894376A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tc={D41EB518-3F92-4762-A699-A53DDAD1E135}</author>
    <author>tc={0804F9CA-EC80-4F27-9156-FA711F0EBCF2}</author>
    <author>tc={61086609-9F61-4D69-878F-54781E79DB96}</author>
    <author>tc={0F3AD90B-A018-4179-9DA3-3EBF475777E1}</author>
  </authors>
  <commentList>
    <comment ref="C3" authorId="0" shapeId="0" xr:uid="{D41EB518-3F92-4762-A699-A53DDAD1E1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0804F9CA-EC80-4F27-9156-FA711F0E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61086609-9F61-4D69-878F-54781E79DB96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0F3AD90B-A018-4179-9DA3-3EBF4757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tc={0FF7EE19-E7E5-48E5-9426-82765F3428F3}</author>
    <author>tc={CFF4E8BE-4814-4964-8261-7762D89A942D}</author>
    <author>tc={EEAFA33B-E5AE-4199-A130-CE7599B86317}</author>
    <author>tc={667C2C12-ACDB-42A1-A4A7-431F7A5D4178}</author>
  </authors>
  <commentList>
    <comment ref="C3" authorId="0" shapeId="0" xr:uid="{0FF7EE19-E7E5-48E5-9426-82765F3428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CFF4E8BE-4814-4964-8261-7762D89A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EEAFA33B-E5AE-4199-A130-CE7599B86317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667C2C12-ACDB-42A1-A4A7-431F7A5D4178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tc={315AA28E-AF65-4929-A705-60D378F755D9}</author>
    <author>tc={E490EA6E-777C-4E66-BAAB-3F02A2269298}</author>
    <author>tc={DA978F81-4AEA-4F03-B1C7-2988676E8BE5}</author>
    <author>tc={00B1BE70-9900-43A5-82F8-8AAC93AC63A5}</author>
  </authors>
  <commentList>
    <comment ref="C3" authorId="0" shapeId="0" xr:uid="{315AA28E-AF65-4929-A705-60D378F755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E490EA6E-777C-4E66-BAAB-3F02A2269298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DA978F81-4AEA-4F03-B1C7-2988676E8BE5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00B1BE70-9900-43A5-82F8-8AAC93AC63A5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tc={44F5774C-E9DB-4941-87A7-5A18D21C6853}</author>
    <author>tc={85000779-E1FD-4920-BEE8-0E0B9EB2B9E8}</author>
    <author>tc={216BF42F-99F5-46B0-AB27-E725090EDC9F}</author>
    <author>tc={47B4781B-764D-42D5-9452-D44D77F4B241}</author>
  </authors>
  <commentList>
    <comment ref="C3" authorId="0" shapeId="0" xr:uid="{44F5774C-E9DB-4941-87A7-5A18D21C68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85000779-E1FD-4920-BEE8-0E0B9EB2B9E8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216BF42F-99F5-46B0-AB27-E725090EDC9F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47B4781B-764D-42D5-9452-D44D77F4B241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tc={5BB80FDA-262E-4F64-BF11-4B2729939BB3}</author>
    <author>tc={85F3FCC3-9950-425C-9C1E-97772B9719D0}</author>
    <author>tc={2118860E-3346-4780-B5F8-167E5DAA22A5}</author>
    <author>tc={00A99603-B830-4A4E-9A3F-9B1ECF03CE94}</author>
  </authors>
  <commentList>
    <comment ref="C3" authorId="0" shapeId="0" xr:uid="{5BB80FDA-262E-4F64-BF11-4B2729939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85F3FCC3-9950-425C-9C1E-97772B9719D0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2118860E-3346-4780-B5F8-167E5DAA22A5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00A99603-B830-4A4E-9A3F-9B1ECF03CE94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tc={B8B75FE0-EF10-490E-B1F7-8CA6CB02F8F5}</author>
    <author>tc={B916350D-712B-4936-971A-23912B35505B}</author>
    <author>tc={22E108AC-1ACC-49CA-8E2B-D9F4544398D7}</author>
    <author>tc={A7CF0AB7-9452-46D1-9929-3C938C15D06C}</author>
  </authors>
  <commentList>
    <comment ref="C3" authorId="0" shapeId="0" xr:uid="{B8B75FE0-EF10-490E-B1F7-8CA6CB02F8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last year trend
</t>
      </text>
    </comment>
    <comment ref="C14" authorId="1" shapeId="0" xr:uid="{B916350D-712B-4936-971A-23912B35505B}">
      <text>
        <t>[Threaded comment]
Your version of Excel allows you to read this threaded comment; however, any edits to it will get removed if the file is opened in a newer version of Excel. Learn more: https://go.microsoft.com/fwlink/?linkid=870924
Comment:
    65 bag/ day max in high Conductivity</t>
      </text>
    </comment>
    <comment ref="C15" authorId="2" shapeId="0" xr:uid="{22E108AC-1ACC-49CA-8E2B-D9F4544398D7}">
      <text>
        <t>[Threaded comment]
Your version of Excel allows you to read this threaded comment; however, any edits to it will get removed if the file is opened in a newer version of Excel. Learn more: https://go.microsoft.com/fwlink/?linkid=870924
Comment:
    70 Jar max/day</t>
      </text>
    </comment>
    <comment ref="C16" authorId="3" shapeId="0" xr:uid="{A7CF0AB7-9452-46D1-9929-3C938C15D06C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M3/DAY</t>
      </text>
    </comment>
  </commentList>
</comments>
</file>

<file path=xl/sharedStrings.xml><?xml version="1.0" encoding="utf-8"?>
<sst xmlns="http://schemas.openxmlformats.org/spreadsheetml/2006/main" count="1108" uniqueCount="24">
  <si>
    <t>Water Management Division- Daily MIS - Chemical Stock Levels - as on date</t>
  </si>
  <si>
    <t>Group 1 
Coagulant</t>
  </si>
  <si>
    <t>Daily stock required (Ton)</t>
  </si>
  <si>
    <t>Monthly stock required ( Ton )</t>
  </si>
  <si>
    <t>3 months Stock Required ( Ton )</t>
  </si>
  <si>
    <t>Available stock (Ton) On date</t>
  </si>
  <si>
    <t>Available Stock (No of Days)</t>
  </si>
  <si>
    <t>Chemical Vendor</t>
  </si>
  <si>
    <t>Solid Alum</t>
  </si>
  <si>
    <t>Ranisati</t>
  </si>
  <si>
    <t>Powder PAC</t>
  </si>
  <si>
    <t>Grasim</t>
  </si>
  <si>
    <t>Liquid Alum</t>
  </si>
  <si>
    <t>Kedia</t>
  </si>
  <si>
    <t>Liquid PAC</t>
  </si>
  <si>
    <t>POLY</t>
  </si>
  <si>
    <t>Group 2
Disinfection (B)</t>
  </si>
  <si>
    <t>Bleaching Powder</t>
  </si>
  <si>
    <t>Hypo</t>
  </si>
  <si>
    <t>HCL</t>
  </si>
  <si>
    <t>NaClo2</t>
  </si>
  <si>
    <t>Shree Chlorates, 
Vasu Chemical</t>
  </si>
  <si>
    <t>Ranisati/ Amar alum</t>
  </si>
  <si>
    <t>Shree Chlorates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</si>
</sst>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2" fontId="0" fillId="0" borderId="0" xfId="0" applyNumberFormat="1"/>
    <xf numFmtId="0" fontId="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164" fontId="4" fillId="2" borderId="21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4" fillId="2" borderId="20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 wrapText="1"/>
    </xf>
    <xf numFmtId="164" fontId="0" fillId="2" borderId="13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16" xfId="0" applyNumberFormat="1" applyFon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</cellXfs>
  <cellStyles count="1">
    <cellStyle name="Normal" xfId="0" builtinId="0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vashish Kumar" id="{427AAA87-CC45-4E5E-8CCD-F8AF7A1DA76F}" userId="S::842045@tatasteel.com::849d423c-b630-4918-ac6f-f54a4123f8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8E8B18B6-D628-4B5C-8BBB-5F03BD5EA85F}">
    <text xml:space="preserve">As per last year trend
</text>
  </threadedComment>
  <threadedComment ref="C14" dT="2026-03-27T09:23:51.51" personId="{427AAA87-CC45-4E5E-8CCD-F8AF7A1DA76F}" id="{D9EDFAA3-3796-4B45-96A8-53DCB779E0B2}">
    <text>65 bag/ day max in high Conductivity</text>
  </threadedComment>
  <threadedComment ref="C15" dT="2026-03-27T09:24:46.87" personId="{427AAA87-CC45-4E5E-8CCD-F8AF7A1DA76F}" id="{BD4BBF94-98E4-416A-BE3F-C3F4D2DFECA1}">
    <text>70 Jar max/day</text>
  </threadedComment>
  <threadedComment ref="C16" dT="2026-03-27T09:20:38.82" personId="{427AAA87-CC45-4E5E-8CCD-F8AF7A1DA76F}" id="{B27C0706-6E64-4350-A2F4-1BBC211876F6}">
    <text>1.5 M3/DAY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1D5D7836-805E-463D-925A-1C938BBAE493}">
    <text xml:space="preserve">As per last year trend
</text>
  </threadedComment>
  <threadedComment ref="C14" dT="2026-03-27T09:23:51.51" personId="{427AAA87-CC45-4E5E-8CCD-F8AF7A1DA76F}" id="{890AE3B3-ED66-4BDA-B5BF-FAA671C2E9EC}">
    <text>65 bag/ day max in high Conductivity</text>
  </threadedComment>
  <threadedComment ref="C15" dT="2026-03-27T09:24:46.87" personId="{427AAA87-CC45-4E5E-8CCD-F8AF7A1DA76F}" id="{E29BEFF1-B383-4E60-A97D-85FBB3B7FED5}">
    <text>70 Jar max/day</text>
  </threadedComment>
  <threadedComment ref="C16" dT="2026-03-27T09:20:38.82" personId="{427AAA87-CC45-4E5E-8CCD-F8AF7A1DA76F}" id="{530EB587-F54A-4EC7-BAF3-3083EFDBCCB4}">
    <text>1.5 M3/DAY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BCDE9836-0BD2-4249-8338-90D29BFD4C68}">
    <text xml:space="preserve">As per last year trend
</text>
  </threadedComment>
  <threadedComment ref="C14" dT="2026-03-27T09:23:51.51" personId="{427AAA87-CC45-4E5E-8CCD-F8AF7A1DA76F}" id="{9DB94067-9C64-485F-8178-9D363C9FA1F1}">
    <text>65 bag/ day max in high Conductivity</text>
  </threadedComment>
  <threadedComment ref="C15" dT="2026-03-27T09:24:46.87" personId="{427AAA87-CC45-4E5E-8CCD-F8AF7A1DA76F}" id="{E3CD7ED5-36AF-48E9-B999-1FB23EE8144A}">
    <text>70 Jar max/day</text>
  </threadedComment>
  <threadedComment ref="C16" dT="2026-03-27T09:20:38.82" personId="{427AAA87-CC45-4E5E-8CCD-F8AF7A1DA76F}" id="{6DA946DD-580C-4A11-A0F5-A62F8DC73299}">
    <text>1.5 M3/DAY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24D87851-7BAB-45E9-862B-23472921CF55}">
    <text xml:space="preserve">As per last year trend
</text>
  </threadedComment>
  <threadedComment ref="C14" dT="2026-03-27T09:23:51.51" personId="{427AAA87-CC45-4E5E-8CCD-F8AF7A1DA76F}" id="{0BF921BF-F5FC-4AFF-A342-76581CF6BE07}">
    <text>65 bag/ day max in high Conductivity</text>
  </threadedComment>
  <threadedComment ref="C15" dT="2026-03-27T09:24:46.87" personId="{427AAA87-CC45-4E5E-8CCD-F8AF7A1DA76F}" id="{87E27F2D-8861-4748-A3BA-EDB2F615A9BA}">
    <text>70 Jar max/day</text>
  </threadedComment>
  <threadedComment ref="C16" dT="2026-03-27T09:20:38.82" personId="{427AAA87-CC45-4E5E-8CCD-F8AF7A1DA76F}" id="{F577677C-D4B7-4160-99E1-5760CFCFE7FE}">
    <text>1.5 M3/DAY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FFF2B9FF-86EE-43C0-8E55-7B6898EC68AF}">
    <text xml:space="preserve">As per last year trend
</text>
  </threadedComment>
  <threadedComment ref="C14" dT="2026-03-27T09:23:51.51" personId="{427AAA87-CC45-4E5E-8CCD-F8AF7A1DA76F}" id="{28373151-350B-4E40-BBDB-8385361B0411}">
    <text>65 bag/ day max in high Conductivity</text>
  </threadedComment>
  <threadedComment ref="C15" dT="2026-03-27T09:24:46.87" personId="{427AAA87-CC45-4E5E-8CCD-F8AF7A1DA76F}" id="{A6D9043D-FE4A-4B72-8997-8354FA0616B6}">
    <text>70 Jar max/day</text>
  </threadedComment>
  <threadedComment ref="C16" dT="2026-03-27T09:20:38.82" personId="{427AAA87-CC45-4E5E-8CCD-F8AF7A1DA76F}" id="{1D7EFD25-B6D7-46CC-B830-99E77445E4E9}">
    <text>1.5 M3/DAY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F99F6DA3-657C-493A-A29A-A2C8CC333855}">
    <text xml:space="preserve">As per last year trend
</text>
  </threadedComment>
  <threadedComment ref="C14" dT="2026-03-27T09:23:51.51" personId="{427AAA87-CC45-4E5E-8CCD-F8AF7A1DA76F}" id="{E93B61AB-038F-4115-9DB8-D87E8C7F646A}">
    <text>65 bag/ day max in high Conductivity</text>
  </threadedComment>
  <threadedComment ref="C15" dT="2026-03-27T09:24:46.87" personId="{427AAA87-CC45-4E5E-8CCD-F8AF7A1DA76F}" id="{E4CD6F28-ABCA-4569-AAFC-6340CDE624B6}">
    <text>70 Jar max/day</text>
  </threadedComment>
  <threadedComment ref="C16" dT="2026-03-27T09:20:38.82" personId="{427AAA87-CC45-4E5E-8CCD-F8AF7A1DA76F}" id="{9CB603BC-642F-4164-9C98-D6D8962CB1F5}">
    <text>1.5 M3/DAY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6DA396F5-7047-47C5-AC0A-979E5A1DCD43}">
    <text xml:space="preserve">As per last year trend
</text>
  </threadedComment>
  <threadedComment ref="C14" dT="2026-03-27T09:23:51.51" personId="{427AAA87-CC45-4E5E-8CCD-F8AF7A1DA76F}" id="{12A9DD79-F306-4D2D-90A4-1B55F367C246}">
    <text>65 bag/ day max in high Conductivity</text>
  </threadedComment>
  <threadedComment ref="C15" dT="2026-03-27T09:24:46.87" personId="{427AAA87-CC45-4E5E-8CCD-F8AF7A1DA76F}" id="{1A31774E-8A3F-4B71-A53F-5F9F1D8163B1}">
    <text>70 Jar max/day</text>
  </threadedComment>
  <threadedComment ref="C16" dT="2026-03-27T09:20:38.82" personId="{427AAA87-CC45-4E5E-8CCD-F8AF7A1DA76F}" id="{5872466F-4C56-4937-BA5F-8A93DD6F1035}">
    <text>1.5 M3/DAY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C1A533ED-A099-4026-90C0-03E5674A491B}">
    <text xml:space="preserve">As per last year trend
</text>
  </threadedComment>
  <threadedComment ref="C14" dT="2026-03-27T09:23:51.51" personId="{427AAA87-CC45-4E5E-8CCD-F8AF7A1DA76F}" id="{1096B6CD-586C-442C-A63B-8A759CE8754A}">
    <text>65 bag/ day max in high Conductivity</text>
  </threadedComment>
  <threadedComment ref="C15" dT="2026-03-27T09:24:46.87" personId="{427AAA87-CC45-4E5E-8CCD-F8AF7A1DA76F}" id="{BB2BFFF6-8142-4BD2-B239-DA8FF0D51BEC}">
    <text>70 Jar max/day</text>
  </threadedComment>
  <threadedComment ref="C16" dT="2026-03-27T09:20:38.82" personId="{427AAA87-CC45-4E5E-8CCD-F8AF7A1DA76F}" id="{F6BE9DDB-8997-4237-ABAD-0CF128DDA949}">
    <text>1.5 M3/DAY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653E084C-4AB5-489E-A279-1771E8CD6EDC}">
    <text xml:space="preserve">As per last year trend
</text>
  </threadedComment>
  <threadedComment ref="C14" dT="2026-03-27T09:23:51.51" personId="{427AAA87-CC45-4E5E-8CCD-F8AF7A1DA76F}" id="{5B214CEF-1AA8-4CAB-ABB3-1807F08512C0}">
    <text>65 bag/ day max in high Conductivity</text>
  </threadedComment>
  <threadedComment ref="C15" dT="2026-03-27T09:24:46.87" personId="{427AAA87-CC45-4E5E-8CCD-F8AF7A1DA76F}" id="{C2C782F5-6E41-4AD3-9CFF-A9E2758C1A11}">
    <text>70 Jar max/day</text>
  </threadedComment>
  <threadedComment ref="C16" dT="2026-03-27T09:20:38.82" personId="{427AAA87-CC45-4E5E-8CCD-F8AF7A1DA76F}" id="{145ABE4D-B267-43CA-85BA-4511183B9043}">
    <text>1.5 M3/DAY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756203A2-2A28-4C9D-B2A8-2FE954AE3963}">
    <text xml:space="preserve">As per last year trend
</text>
  </threadedComment>
  <threadedComment ref="C14" dT="2026-03-27T09:23:51.51" personId="{427AAA87-CC45-4E5E-8CCD-F8AF7A1DA76F}" id="{F60F4701-01E0-42CD-AFB1-04E09A90E878}">
    <text>65 bag/ day max in high Conductivity</text>
  </threadedComment>
  <threadedComment ref="C15" dT="2026-03-27T09:24:46.87" personId="{427AAA87-CC45-4E5E-8CCD-F8AF7A1DA76F}" id="{2E8F1173-DE39-4C48-88F6-AFB20FD40800}">
    <text>70 Jar max/day</text>
  </threadedComment>
  <threadedComment ref="C16" dT="2026-03-27T09:20:38.82" personId="{427AAA87-CC45-4E5E-8CCD-F8AF7A1DA76F}" id="{39C5551F-FE48-4160-99BB-D757F214A6D2}">
    <text>1.5 M3/DAY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88A10201-D9C0-4B95-8982-1BDF97FC78BB}">
    <text xml:space="preserve">As per last year trend
</text>
  </threadedComment>
  <threadedComment ref="C14" dT="2026-03-27T09:23:51.51" personId="{427AAA87-CC45-4E5E-8CCD-F8AF7A1DA76F}" id="{246AABBA-FAE3-4044-BDB5-1FE34EDE460D}">
    <text>65 bag/ day max in high Conductivity</text>
  </threadedComment>
  <threadedComment ref="C15" dT="2026-03-27T09:24:46.87" personId="{427AAA87-CC45-4E5E-8CCD-F8AF7A1DA76F}" id="{7346783D-FAAC-4153-8648-01ADD0A549E4}">
    <text>70 Jar max/day</text>
  </threadedComment>
  <threadedComment ref="C16" dT="2026-03-27T09:20:38.82" personId="{427AAA87-CC45-4E5E-8CCD-F8AF7A1DA76F}" id="{CEABFE52-35D2-46F2-ADAD-BDBEF71AECC4}">
    <text>1.5 M3/DAY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B296C2BA-3688-4A9E-BB73-C87913E1902A}">
    <text xml:space="preserve">As per last year trend
</text>
  </threadedComment>
  <threadedComment ref="C14" dT="2026-03-27T09:23:51.51" personId="{427AAA87-CC45-4E5E-8CCD-F8AF7A1DA76F}" id="{FCBED135-2664-4DB4-AE5A-67016E237F27}">
    <text>65 bag/ day max in high Conductivity</text>
  </threadedComment>
  <threadedComment ref="C15" dT="2026-03-27T09:24:46.87" personId="{427AAA87-CC45-4E5E-8CCD-F8AF7A1DA76F}" id="{2F5BC7B3-1D35-434D-AE7B-4C3EAB791AD0}">
    <text>70 Jar max/day</text>
  </threadedComment>
  <threadedComment ref="C16" dT="2026-03-27T09:20:38.82" personId="{427AAA87-CC45-4E5E-8CCD-F8AF7A1DA76F}" id="{A55B3FB2-CC02-452A-A964-11E757F6577B}">
    <text>1.5 M3/DAY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E9A2FF63-5A7E-4B41-B0FE-B95FCE3A497E}">
    <text xml:space="preserve">As per last year trend
</text>
  </threadedComment>
  <threadedComment ref="C14" dT="2026-03-27T09:23:51.51" personId="{427AAA87-CC45-4E5E-8CCD-F8AF7A1DA76F}" id="{FD1E84EE-5349-447B-9BD8-B56DECEB6BE2}">
    <text>65 bag/ day max in high Conductivity</text>
  </threadedComment>
  <threadedComment ref="C15" dT="2026-03-27T09:24:46.87" personId="{427AAA87-CC45-4E5E-8CCD-F8AF7A1DA76F}" id="{300874E3-6D4C-40FD-BA6B-B10321F688BA}">
    <text>70 Jar max/day</text>
  </threadedComment>
  <threadedComment ref="C16" dT="2026-03-27T09:20:38.82" personId="{427AAA87-CC45-4E5E-8CCD-F8AF7A1DA76F}" id="{D1E85E20-8A96-4705-A30B-855E0E38B0E1}">
    <text>1.5 M3/DAY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17D5CAC9-7A64-4EE6-BF20-03E87C042C15}">
    <text xml:space="preserve">As per last year trend
</text>
  </threadedComment>
  <threadedComment ref="C14" dT="2026-03-27T09:23:51.51" personId="{427AAA87-CC45-4E5E-8CCD-F8AF7A1DA76F}" id="{A090EE99-6B52-444B-BA2A-40A9EB452A18}">
    <text>65 bag/ day max in high Conductivity</text>
  </threadedComment>
  <threadedComment ref="C15" dT="2026-03-27T09:24:46.87" personId="{427AAA87-CC45-4E5E-8CCD-F8AF7A1DA76F}" id="{A2702689-F2FC-486B-B7CC-4E82C45923DC}">
    <text>70 Jar max/day</text>
  </threadedComment>
  <threadedComment ref="C16" dT="2026-03-27T09:20:38.82" personId="{427AAA87-CC45-4E5E-8CCD-F8AF7A1DA76F}" id="{5A231821-E02F-451A-BF0D-76FEFF7A98FE}">
    <text>1.5 M3/DAY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E69B5032-3A71-4BC6-AEDA-1E4D124B34EC}">
    <text xml:space="preserve">As per last year trend
</text>
  </threadedComment>
  <threadedComment ref="C14" dT="2026-03-27T09:23:51.51" personId="{427AAA87-CC45-4E5E-8CCD-F8AF7A1DA76F}" id="{5D25EB72-F0C8-45B7-9A69-8400D75C7024}">
    <text>65 bag/ day max in high Conductivity</text>
  </threadedComment>
  <threadedComment ref="C15" dT="2026-03-27T09:24:46.87" personId="{427AAA87-CC45-4E5E-8CCD-F8AF7A1DA76F}" id="{BD869379-746F-4035-BF8C-710F69D8353F}">
    <text>70 Jar max/day</text>
  </threadedComment>
  <threadedComment ref="C16" dT="2026-03-27T09:20:38.82" personId="{427AAA87-CC45-4E5E-8CCD-F8AF7A1DA76F}" id="{D21EA80E-D423-49CA-98CD-831CF54D335A}">
    <text>1.5 M3/DAY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07428960-A033-4222-9AA2-F5C03B358561}">
    <text xml:space="preserve">As per last year trend
</text>
  </threadedComment>
  <threadedComment ref="C14" dT="2026-03-27T09:23:51.51" personId="{427AAA87-CC45-4E5E-8CCD-F8AF7A1DA76F}" id="{9E6F7B4E-8467-43F6-88C5-94B91DDE6EF8}">
    <text>65 bag/ day max in high Conductivity</text>
  </threadedComment>
  <threadedComment ref="C15" dT="2026-03-27T09:24:46.87" personId="{427AAA87-CC45-4E5E-8CCD-F8AF7A1DA76F}" id="{A500DF7B-CE23-4E73-9355-A577ACA80CDF}">
    <text>70 Jar max/day</text>
  </threadedComment>
  <threadedComment ref="C16" dT="2026-03-27T09:20:38.82" personId="{427AAA87-CC45-4E5E-8CCD-F8AF7A1DA76F}" id="{C7A9D2BF-DC15-41D1-A15E-17ACD89A110E}">
    <text>1.5 M3/DAY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D66D4104-5E3D-40ED-96B9-1B33EDB71F0F}">
    <text xml:space="preserve">As per last year trend
</text>
  </threadedComment>
  <threadedComment ref="C14" dT="2026-03-27T09:23:51.51" personId="{427AAA87-CC45-4E5E-8CCD-F8AF7A1DA76F}" id="{EF948CC3-4994-44C7-ABF0-C88D89791A3B}">
    <text>65 bag/ day max in high Conductivity</text>
  </threadedComment>
  <threadedComment ref="C15" dT="2026-03-27T09:24:46.87" personId="{427AAA87-CC45-4E5E-8CCD-F8AF7A1DA76F}" id="{2A80F23C-AF5C-4606-8C4D-1E0C868DD7FB}">
    <text>70 Jar max/day</text>
  </threadedComment>
  <threadedComment ref="C16" dT="2026-03-27T09:20:38.82" personId="{427AAA87-CC45-4E5E-8CCD-F8AF7A1DA76F}" id="{271F028E-336C-4ED4-8003-6D44FA8BF656}">
    <text>1.5 M3/DAY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E2B39A47-F42F-41F4-AA13-2EEEAC61333F}">
    <text xml:space="preserve">As per last year trend
</text>
  </threadedComment>
  <threadedComment ref="C14" dT="2026-03-27T09:23:51.51" personId="{427AAA87-CC45-4E5E-8CCD-F8AF7A1DA76F}" id="{545EF2E7-AAE2-4B9C-A188-C6E6F7F2615E}">
    <text>65 bag/ day max in high Conductivity</text>
  </threadedComment>
  <threadedComment ref="C15" dT="2026-03-27T09:24:46.87" personId="{427AAA87-CC45-4E5E-8CCD-F8AF7A1DA76F}" id="{6700B234-CDAF-4DFC-ABD0-AC4AA26F4615}">
    <text>70 Jar max/day</text>
  </threadedComment>
  <threadedComment ref="C16" dT="2026-03-27T09:20:38.82" personId="{427AAA87-CC45-4E5E-8CCD-F8AF7A1DA76F}" id="{A0E3DCC2-4D6E-4F63-9515-F052FEB6E84C}">
    <text>1.5 M3/DAY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F0E51AD7-718B-45DE-9961-01F4F0C4AB83}">
    <text xml:space="preserve">As per last year trend
</text>
  </threadedComment>
  <threadedComment ref="C14" dT="2026-03-27T09:23:51.51" personId="{427AAA87-CC45-4E5E-8CCD-F8AF7A1DA76F}" id="{B37023FD-E5EA-4ACF-982D-16EA5E0D0105}">
    <text>65 bag/ day max in high Conductivity</text>
  </threadedComment>
  <threadedComment ref="C15" dT="2026-03-27T09:24:46.87" personId="{427AAA87-CC45-4E5E-8CCD-F8AF7A1DA76F}" id="{A0E32DE4-4464-4C55-B98B-CC4A8B816DC0}">
    <text>70 Jar max/day</text>
  </threadedComment>
  <threadedComment ref="C16" dT="2026-03-27T09:20:38.82" personId="{427AAA87-CC45-4E5E-8CCD-F8AF7A1DA76F}" id="{10343D7C-AB90-443B-A4DC-EDEF13B4A1EE}">
    <text>1.5 M3/DAY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2131A390-D9EE-4D29-ACED-4FFF0B2B2717}">
    <text xml:space="preserve">As per last year trend
</text>
  </threadedComment>
  <threadedComment ref="C14" dT="2026-03-27T09:23:51.51" personId="{427AAA87-CC45-4E5E-8CCD-F8AF7A1DA76F}" id="{1DF7EC0A-CBA5-4F2A-BAC4-78AB02A8B8FA}">
    <text>65 bag/ day max in high Conductivity</text>
  </threadedComment>
  <threadedComment ref="C15" dT="2026-03-27T09:24:46.87" personId="{427AAA87-CC45-4E5E-8CCD-F8AF7A1DA76F}" id="{31E48C1E-942F-436A-963D-26857CBF1BA9}">
    <text>70 Jar max/day</text>
  </threadedComment>
  <threadedComment ref="C16" dT="2026-03-27T09:20:38.82" personId="{427AAA87-CC45-4E5E-8CCD-F8AF7A1DA76F}" id="{8322656C-6232-4F20-B6B0-3F884619B1A4}">
    <text>1.5 M3/DAY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5234135B-714E-47B1-9F5D-80432D448791}">
    <text xml:space="preserve">As per last year trend
</text>
  </threadedComment>
  <threadedComment ref="C14" dT="2026-03-27T09:23:51.51" personId="{427AAA87-CC45-4E5E-8CCD-F8AF7A1DA76F}" id="{611EB873-EEEC-46B4-9EAE-E789482FC537}">
    <text>65 bag/ day max in high Conductivity</text>
  </threadedComment>
  <threadedComment ref="C15" dT="2026-03-27T09:24:46.87" personId="{427AAA87-CC45-4E5E-8CCD-F8AF7A1DA76F}" id="{B55CCBC8-0782-485A-AA2F-255E40D5CB97}">
    <text>70 Jar max/day</text>
  </threadedComment>
  <threadedComment ref="C16" dT="2026-03-27T09:20:38.82" personId="{427AAA87-CC45-4E5E-8CCD-F8AF7A1DA76F}" id="{3D7825C4-98F0-45AE-893E-DBF09B93DDA4}">
    <text>1.5 M3/DAY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78BD9C56-CFC0-4760-AC4E-D2809710D437}">
    <text xml:space="preserve">As per last year trend
</text>
  </threadedComment>
  <threadedComment ref="C14" dT="2026-03-27T09:23:51.51" personId="{427AAA87-CC45-4E5E-8CCD-F8AF7A1DA76F}" id="{44C2DB70-6D67-44F2-A5C8-3134F27F07AC}">
    <text>65 bag/ day max in high Conductivity</text>
  </threadedComment>
  <threadedComment ref="C15" dT="2026-03-27T09:24:46.87" personId="{427AAA87-CC45-4E5E-8CCD-F8AF7A1DA76F}" id="{D4FC76C3-2B9E-4799-8A8E-F30831308852}">
    <text>70 Jar max/day</text>
  </threadedComment>
  <threadedComment ref="C16" dT="2026-03-27T09:20:38.82" personId="{427AAA87-CC45-4E5E-8CCD-F8AF7A1DA76F}" id="{DD66081F-F7D3-4CEA-BC17-6E1F8FB1001B}">
    <text>1.5 M3/DAY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57FFDDE0-7D6E-48F9-837A-61A95579FE6F}">
    <text xml:space="preserve">As per last year trend
</text>
  </threadedComment>
  <threadedComment ref="C14" dT="2026-03-27T09:23:51.51" personId="{427AAA87-CC45-4E5E-8CCD-F8AF7A1DA76F}" id="{5B30C8A2-586F-4F60-987A-6002DF3D1E4B}">
    <text>65 bag/ day max in high Conductivity</text>
  </threadedComment>
  <threadedComment ref="C15" dT="2026-03-27T09:24:46.87" personId="{427AAA87-CC45-4E5E-8CCD-F8AF7A1DA76F}" id="{6A331FAF-2F89-44DB-9D0B-88FA07D7FD2B}">
    <text>70 Jar max/day</text>
  </threadedComment>
  <threadedComment ref="C16" dT="2026-03-27T09:20:38.82" personId="{427AAA87-CC45-4E5E-8CCD-F8AF7A1DA76F}" id="{10DE8288-C944-49DF-9F2D-099777BBAA96}">
    <text>1.5 M3/DAY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4D35D7AC-F514-43AE-84E0-F91A34608A04}">
    <text xml:space="preserve">As per last year trend
</text>
  </threadedComment>
  <threadedComment ref="C14" dT="2026-03-27T09:23:51.51" personId="{427AAA87-CC45-4E5E-8CCD-F8AF7A1DA76F}" id="{B9172CF4-E812-45CE-8557-E30B8584BA81}">
    <text>65 bag/ day max in high Conductivity</text>
  </threadedComment>
  <threadedComment ref="C15" dT="2026-03-27T09:24:46.87" personId="{427AAA87-CC45-4E5E-8CCD-F8AF7A1DA76F}" id="{8CCF2697-23F3-4714-8A07-7401B73649AA}">
    <text>70 Jar max/day</text>
  </threadedComment>
  <threadedComment ref="C16" dT="2026-03-27T09:20:38.82" personId="{427AAA87-CC45-4E5E-8CCD-F8AF7A1DA76F}" id="{9F88ECA6-3604-446C-BA87-3B57E38215A4}">
    <text>1.5 M3/DAY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EB35FB54-6957-45FC-B9F5-5C912C7246D3}">
    <text xml:space="preserve">As per last year trend
</text>
  </threadedComment>
  <threadedComment ref="C14" dT="2026-03-27T09:23:51.51" personId="{427AAA87-CC45-4E5E-8CCD-F8AF7A1DA76F}" id="{D85553E9-9EC6-4840-842C-9E8C7FF7C59C}">
    <text>65 bag/ day max in high Conductivity</text>
  </threadedComment>
  <threadedComment ref="C15" dT="2026-03-27T09:24:46.87" personId="{427AAA87-CC45-4E5E-8CCD-F8AF7A1DA76F}" id="{FD1A20FA-BDC8-44C9-8D43-ACB64583BD6B}">
    <text>70 Jar max/day</text>
  </threadedComment>
  <threadedComment ref="C16" dT="2026-03-27T09:20:38.82" personId="{427AAA87-CC45-4E5E-8CCD-F8AF7A1DA76F}" id="{5381CC05-88AF-4B3C-A955-A7308215BACA}">
    <text>1.5 M3/DAY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4FB7DD26-B39F-4FCC-BAF6-21E97BBB176C}">
    <text xml:space="preserve">As per last year trend
</text>
  </threadedComment>
  <threadedComment ref="C14" dT="2026-03-27T09:23:51.51" personId="{427AAA87-CC45-4E5E-8CCD-F8AF7A1DA76F}" id="{8D979072-728B-4DD1-A42D-33D55860CB9F}">
    <text>65 bag/ day max in high Conductivity</text>
  </threadedComment>
  <threadedComment ref="C15" dT="2026-03-27T09:24:46.87" personId="{427AAA87-CC45-4E5E-8CCD-F8AF7A1DA76F}" id="{325E29F8-9204-42BA-9188-948F42D627B1}">
    <text>70 Jar max/day</text>
  </threadedComment>
  <threadedComment ref="C16" dT="2026-03-27T09:20:38.82" personId="{427AAA87-CC45-4E5E-8CCD-F8AF7A1DA76F}" id="{4BB6EEF3-720E-4A0C-A17A-63BEBCB86BF7}">
    <text>1.5 M3/DAY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6DB8D398-4046-498F-94B9-A9AF619D0D18}">
    <text xml:space="preserve">As per last year trend
</text>
  </threadedComment>
  <threadedComment ref="C14" dT="2026-03-27T09:23:51.51" personId="{427AAA87-CC45-4E5E-8CCD-F8AF7A1DA76F}" id="{F61579CF-C6C0-4A5F-A956-BC028571AC2E}">
    <text>65 bag/ day max in high Conductivity</text>
  </threadedComment>
  <threadedComment ref="C15" dT="2026-03-27T09:24:46.87" personId="{427AAA87-CC45-4E5E-8CCD-F8AF7A1DA76F}" id="{5C111710-0231-460E-813E-E59E6A284775}">
    <text>70 Jar max/day</text>
  </threadedComment>
  <threadedComment ref="C16" dT="2026-03-27T09:20:38.82" personId="{427AAA87-CC45-4E5E-8CCD-F8AF7A1DA76F}" id="{8B29171C-A6D0-474A-B2E9-EC22BB16C845}">
    <text>1.5 M3/DAY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0657F395-3197-47B8-9607-C2DC5DA689C8}">
    <text xml:space="preserve">As per last year trend
</text>
  </threadedComment>
  <threadedComment ref="C14" dT="2026-03-27T09:23:51.51" personId="{427AAA87-CC45-4E5E-8CCD-F8AF7A1DA76F}" id="{8D9465FD-08DE-44F3-B6E1-091FF87CD211}">
    <text>65 bag/ day max in high Conductivity</text>
  </threadedComment>
  <threadedComment ref="C15" dT="2026-03-27T09:24:46.87" personId="{427AAA87-CC45-4E5E-8CCD-F8AF7A1DA76F}" id="{0D863C50-14A0-4408-82E0-E43490D3A447}">
    <text>70 Jar max/day</text>
  </threadedComment>
  <threadedComment ref="C16" dT="2026-03-27T09:20:38.82" personId="{427AAA87-CC45-4E5E-8CCD-F8AF7A1DA76F}" id="{1B2D00C9-B079-46EC-9E15-0B2CBEB639DF}">
    <text>1.5 M3/DAY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F2F40878-EA53-4A7B-A936-76805C6489EF}">
    <text xml:space="preserve">As per last year trend
</text>
  </threadedComment>
  <threadedComment ref="C14" dT="2026-03-27T09:23:51.51" personId="{427AAA87-CC45-4E5E-8CCD-F8AF7A1DA76F}" id="{E105B896-6544-444A-B4F7-7C793E9C615E}">
    <text>65 bag/ day max in high Conductivity</text>
  </threadedComment>
  <threadedComment ref="C15" dT="2026-03-27T09:24:46.87" personId="{427AAA87-CC45-4E5E-8CCD-F8AF7A1DA76F}" id="{30FFD903-D9FD-4010-BED0-4F857E8C392D}">
    <text>70 Jar max/day</text>
  </threadedComment>
  <threadedComment ref="C16" dT="2026-03-27T09:20:38.82" personId="{427AAA87-CC45-4E5E-8CCD-F8AF7A1DA76F}" id="{E895114E-FA34-43A0-8B4E-BEF39894376A}">
    <text>1.5 M3/DAY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D41EB518-3F92-4762-A699-A53DDAD1E135}">
    <text xml:space="preserve">As per last year trend
</text>
  </threadedComment>
  <threadedComment ref="C14" dT="2026-03-27T09:23:51.51" personId="{427AAA87-CC45-4E5E-8CCD-F8AF7A1DA76F}" id="{0804F9CA-EC80-4F27-9156-FA711F0EBCF2}">
    <text>65 bag/ day max in high Conductivity</text>
  </threadedComment>
  <threadedComment ref="C15" dT="2026-03-27T09:24:46.87" personId="{427AAA87-CC45-4E5E-8CCD-F8AF7A1DA76F}" id="{61086609-9F61-4D69-878F-54781E79DB96}">
    <text>70 Jar max/day</text>
  </threadedComment>
  <threadedComment ref="C16" dT="2026-03-27T09:20:38.82" personId="{427AAA87-CC45-4E5E-8CCD-F8AF7A1DA76F}" id="{0F3AD90B-A018-4179-9DA3-3EBF475777E1}">
    <text>1.5 M3/DAY</text>
  </threadedComment>
</ThreadedComments>
</file>

<file path=xl/threadedComments/threadedComment31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0FF7EE19-E7E5-48E5-9426-82765F3428F3}">
    <text xml:space="preserve">As per last year trend
</text>
  </threadedComment>
  <threadedComment ref="C14" dT="2026-03-27T09:23:51.51" personId="{427AAA87-CC45-4E5E-8CCD-F8AF7A1DA76F}" id="{CFF4E8BE-4814-4964-8261-7762D89A942D}">
    <text>65 bag/ day max in high Conductivity</text>
  </threadedComment>
  <threadedComment ref="C15" dT="2026-03-27T09:24:46.87" personId="{427AAA87-CC45-4E5E-8CCD-F8AF7A1DA76F}" id="{EEAFA33B-E5AE-4199-A130-CE7599B86317}">
    <text>70 Jar max/day</text>
  </threadedComment>
  <threadedComment ref="C16" dT="2026-03-27T09:20:38.82" personId="{427AAA87-CC45-4E5E-8CCD-F8AF7A1DA76F}" id="{667C2C12-ACDB-42A1-A4A7-431F7A5D4178}">
    <text>1.5 M3/DAY</text>
  </threadedComment>
</ThreadedComments>
</file>

<file path=xl/threadedComments/threadedComment32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315AA28E-AF65-4929-A705-60D378F755D9}">
    <text xml:space="preserve">As per last year trend
</text>
  </threadedComment>
  <threadedComment ref="C14" dT="2026-03-27T09:23:51.51" personId="{427AAA87-CC45-4E5E-8CCD-F8AF7A1DA76F}" id="{E490EA6E-777C-4E66-BAAB-3F02A2269298}">
    <text>65 bag/ day max in high Conductivity</text>
  </threadedComment>
  <threadedComment ref="C15" dT="2026-03-27T09:24:46.87" personId="{427AAA87-CC45-4E5E-8CCD-F8AF7A1DA76F}" id="{DA978F81-4AEA-4F03-B1C7-2988676E8BE5}">
    <text>70 Jar max/day</text>
  </threadedComment>
  <threadedComment ref="C16" dT="2026-03-27T09:20:38.82" personId="{427AAA87-CC45-4E5E-8CCD-F8AF7A1DA76F}" id="{00B1BE70-9900-43A5-82F8-8AAC93AC63A5}">
    <text>1.5 M3/DAY</text>
  </threadedComment>
</ThreadedComments>
</file>

<file path=xl/threadedComments/threadedComment33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44F5774C-E9DB-4941-87A7-5A18D21C6853}">
    <text xml:space="preserve">As per last year trend
</text>
  </threadedComment>
  <threadedComment ref="C14" dT="2026-03-27T09:23:51.51" personId="{427AAA87-CC45-4E5E-8CCD-F8AF7A1DA76F}" id="{85000779-E1FD-4920-BEE8-0E0B9EB2B9E8}">
    <text>65 bag/ day max in high Conductivity</text>
  </threadedComment>
  <threadedComment ref="C15" dT="2026-03-27T09:24:46.87" personId="{427AAA87-CC45-4E5E-8CCD-F8AF7A1DA76F}" id="{216BF42F-99F5-46B0-AB27-E725090EDC9F}">
    <text>70 Jar max/day</text>
  </threadedComment>
  <threadedComment ref="C16" dT="2026-03-27T09:20:38.82" personId="{427AAA87-CC45-4E5E-8CCD-F8AF7A1DA76F}" id="{47B4781B-764D-42D5-9452-D44D77F4B241}">
    <text>1.5 M3/DAY</text>
  </threadedComment>
</ThreadedComments>
</file>

<file path=xl/threadedComments/threadedComment34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5BB80FDA-262E-4F64-BF11-4B2729939BB3}">
    <text xml:space="preserve">As per last year trend
</text>
  </threadedComment>
  <threadedComment ref="C14" dT="2026-03-27T09:23:51.51" personId="{427AAA87-CC45-4E5E-8CCD-F8AF7A1DA76F}" id="{85F3FCC3-9950-425C-9C1E-97772B9719D0}">
    <text>65 bag/ day max in high Conductivity</text>
  </threadedComment>
  <threadedComment ref="C15" dT="2026-03-27T09:24:46.87" personId="{427AAA87-CC45-4E5E-8CCD-F8AF7A1DA76F}" id="{2118860E-3346-4780-B5F8-167E5DAA22A5}">
    <text>70 Jar max/day</text>
  </threadedComment>
  <threadedComment ref="C16" dT="2026-03-27T09:20:38.82" personId="{427AAA87-CC45-4E5E-8CCD-F8AF7A1DA76F}" id="{00A99603-B830-4A4E-9A3F-9B1ECF03CE94}">
    <text>1.5 M3/DAY</text>
  </threadedComment>
</ThreadedComments>
</file>

<file path=xl/threadedComments/threadedComment35.xml><?xml version="1.0" encoding="utf-8"?>
<ThreadedComments xmlns="http://schemas.microsoft.com/office/spreadsheetml/2018/threadedcomments" xmlns:x="http://schemas.openxmlformats.org/spreadsheetml/2006/main">
  <threadedComment ref="C3" dT="2026-03-27T09:25:21.97" personId="{427AAA87-CC45-4E5E-8CCD-F8AF7A1DA76F}" id="{B8B75FE0-EF10-490E-B1F7-8CA6CB02F8F5}">
    <text xml:space="preserve">As per last year trend
</text>
  </threadedComment>
  <threadedComment ref="C14" dT="2026-03-27T09:23:51.51" personId="{427AAA87-CC45-4E5E-8CCD-F8AF7A1DA76F}" id="{B916350D-712B-4936-971A-23912B35505B}">
    <text>65 bag/ day max in high Conductivity</text>
  </threadedComment>
  <threadedComment ref="C15" dT="2026-03-27T09:24:46.87" personId="{427AAA87-CC45-4E5E-8CCD-F8AF7A1DA76F}" id="{22E108AC-1ACC-49CA-8E2B-D9F4544398D7}">
    <text>70 Jar max/day</text>
  </threadedComment>
  <threadedComment ref="C16" dT="2026-03-27T09:20:38.82" personId="{427AAA87-CC45-4E5E-8CCD-F8AF7A1DA76F}" id="{A7CF0AB7-9452-46D1-9929-3C938C15D06C}">
    <text>1.5 M3/DAY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4.xml"/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5.xml"/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6.xml"/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7.xml"/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8.xml"/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9.xml"/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0.xml"/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1.xml"/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2.xml"/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3.xml"/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4.xml"/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5.xml"/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64F4-E602-4B2E-BB97-CD6291225B1A}">
  <dimension ref="A1:G25"/>
  <sheetViews>
    <sheetView zoomScale="80" zoomScaleNormal="80" workbookViewId="0">
      <selection activeCell="I2" sqref="I2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(58+66+52+56+27+25)*10/1000</f>
        <v>2.84</v>
      </c>
      <c r="F3" s="46">
        <f>E3/B3</f>
        <v>2.4273504273504272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(386+125+152+112+110)*25/1000</f>
        <v>22.125</v>
      </c>
      <c r="F5" s="46">
        <f>E5/(C5/30)</f>
        <v>44.25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15+8+12+8+0+6</f>
        <v>49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(22+3+24+29+26+12+25)*25/1000</f>
        <v>3.5249999999999999</v>
      </c>
      <c r="F14" s="8">
        <f t="shared" ref="F14:F15" si="0">E14/(C14/30)</f>
        <v>1.0585585585585584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(103+29+19+22+0+26)*30/1000</f>
        <v>5.97</v>
      </c>
      <c r="F15" s="8">
        <f>E15/(C15/30)</f>
        <v>2.8428571428571425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104" priority="3" operator="lessThan">
      <formula>7</formula>
    </cfRule>
  </conditionalFormatting>
  <conditionalFormatting sqref="F14:F15">
    <cfRule type="cellIs" dxfId="103" priority="2" operator="lessThan">
      <formula>7</formula>
    </cfRule>
  </conditionalFormatting>
  <conditionalFormatting sqref="F14:F17">
    <cfRule type="cellIs" dxfId="102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D265-C343-455B-A97B-3B86DBC1DDE0}">
  <dimension ref="A1:G25"/>
  <sheetViews>
    <sheetView zoomScale="80" zoomScaleNormal="80" workbookViewId="0">
      <selection activeCell="E15" sqref="E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(24+46+30+37+13+4)*10/1000</f>
        <v>1.54</v>
      </c>
      <c r="F3" s="46">
        <f>E3/B3</f>
        <v>1.3162393162393164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(385+125+152+112+110)*25/1000</f>
        <v>22.1</v>
      </c>
      <c r="F5" s="46">
        <f>E5/(C5/30)</f>
        <v>44.2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15+8+12+8+0+6</f>
        <v>49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(16+26+11+25+9+23)*25/1000</f>
        <v>2.75</v>
      </c>
      <c r="F14" s="8">
        <f t="shared" ref="F14:F15" si="0">E14/(C14/30)</f>
        <v>0.82582582582582575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(103+29+19+22+0+26)*30/1000</f>
        <v>5.97</v>
      </c>
      <c r="F15" s="8">
        <f>E15/(C15/30)</f>
        <v>2.8428571428571425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101" priority="3" operator="lessThan">
      <formula>7</formula>
    </cfRule>
  </conditionalFormatting>
  <conditionalFormatting sqref="F14:F15">
    <cfRule type="cellIs" dxfId="100" priority="2" operator="lessThan">
      <formula>7</formula>
    </cfRule>
  </conditionalFormatting>
  <conditionalFormatting sqref="F14:F17">
    <cfRule type="cellIs" dxfId="99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C25E-6459-4B53-B9E7-4FBC27EA8116}">
  <dimension ref="A1:G25"/>
  <sheetViews>
    <sheetView zoomScale="80" zoomScaleNormal="80" workbookViewId="0">
      <selection activeCell="E15" sqref="E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(22+46+27+44+3)*10/1000</f>
        <v>1.42</v>
      </c>
      <c r="F3" s="46">
        <f>E3/B3</f>
        <v>1.2136752136752136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(384+125+152+112+110)*25/1000</f>
        <v>22.074999999999999</v>
      </c>
      <c r="F5" s="46">
        <f>E5/(C5/30)</f>
        <v>44.15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(10+12+13+24+10+20)*50/1000</f>
        <v>4.45</v>
      </c>
      <c r="F14" s="8">
        <f t="shared" ref="F14:F15" si="0">E14/(C14/30)</f>
        <v>1.3363363363363363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(103+29+22+26)*30/1000</f>
        <v>5.4</v>
      </c>
      <c r="F15" s="8">
        <f>E15/(C15/30)</f>
        <v>2.5714285714285716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98" priority="3" operator="lessThan">
      <formula>7</formula>
    </cfRule>
  </conditionalFormatting>
  <conditionalFormatting sqref="F14:F15">
    <cfRule type="cellIs" dxfId="97" priority="2" operator="lessThan">
      <formula>7</formula>
    </cfRule>
  </conditionalFormatting>
  <conditionalFormatting sqref="F14:F17">
    <cfRule type="cellIs" dxfId="96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CCC4-C2AB-41D7-A27F-4096C59D0B2C}">
  <dimension ref="A1:G25"/>
  <sheetViews>
    <sheetView zoomScale="80" zoomScaleNormal="80" workbookViewId="0">
      <selection activeCell="J13" sqref="J1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(25+7+17)*10/1000</f>
        <v>0.49</v>
      </c>
      <c r="F3" s="46">
        <f>E3/B3</f>
        <v>0.41880341880341881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(376+125+152+112+107)*25/1000</f>
        <v>21.8</v>
      </c>
      <c r="F5" s="46">
        <f>E5/(C5/30)</f>
        <v>43.6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(4+1+1+2+19+4)*50/1000</f>
        <v>1.55</v>
      </c>
      <c r="F14" s="8">
        <f t="shared" ref="F14:F15" si="0">E14/(C14/30)</f>
        <v>0.46546546546546547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(67+29+22+26)*30/1000</f>
        <v>4.32</v>
      </c>
      <c r="F15" s="8">
        <f>E15/(C15/30)</f>
        <v>2.0571428571428574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(15.13)</f>
        <v>15.13</v>
      </c>
      <c r="F16" s="8">
        <f>E16/(C16/30)</f>
        <v>10.086666666666668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(11.73+15)*1.3</f>
        <v>34.749000000000002</v>
      </c>
      <c r="F17" s="8">
        <f t="shared" ref="F17" si="1">E17/(C17/30)</f>
        <v>17.82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95" priority="3" operator="lessThan">
      <formula>7</formula>
    </cfRule>
  </conditionalFormatting>
  <conditionalFormatting sqref="F14:F15">
    <cfRule type="cellIs" dxfId="94" priority="2" operator="lessThan">
      <formula>7</formula>
    </cfRule>
  </conditionalFormatting>
  <conditionalFormatting sqref="F14:F17">
    <cfRule type="cellIs" dxfId="93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6ABE-7223-4910-B1E9-BFB3192998A9}">
  <dimension ref="A1:G25"/>
  <sheetViews>
    <sheetView zoomScale="80" zoomScaleNormal="80" workbookViewId="0">
      <selection activeCell="E16" sqref="E16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(11+32+36+20)*10/1000</f>
        <v>0.99</v>
      </c>
      <c r="F3" s="46">
        <f>E3/B3</f>
        <v>0.84615384615384615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(361+125+150+112+105)*25/1000</f>
        <v>21.324999999999999</v>
      </c>
      <c r="F5" s="46">
        <f>E5/(C5/30)</f>
        <v>42.65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(16+10+13+11+10+7)*50/1000</f>
        <v>3.35</v>
      </c>
      <c r="F14" s="8">
        <f t="shared" ref="F14:F15" si="0">E14/(C14/30)</f>
        <v>1.0060060060060061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(36+29+21+22+26)*30/1000</f>
        <v>4.0199999999999996</v>
      </c>
      <c r="F15" s="8">
        <f>E15/(C15/30)</f>
        <v>1.9142857142857139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92" priority="3" operator="lessThan">
      <formula>7</formula>
    </cfRule>
  </conditionalFormatting>
  <conditionalFormatting sqref="F14:F15">
    <cfRule type="cellIs" dxfId="91" priority="2" operator="lessThan">
      <formula>7</formula>
    </cfRule>
  </conditionalFormatting>
  <conditionalFormatting sqref="F14:F17">
    <cfRule type="cellIs" dxfId="90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21EB-1EB5-491D-A05F-A98EB7E6135C}">
  <dimension ref="A1:G25"/>
  <sheetViews>
    <sheetView zoomScale="80" zoomScaleNormal="80" workbookViewId="0">
      <selection activeCell="M12" sqref="M12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(11+2+10)*10/1000</f>
        <v>0.23</v>
      </c>
      <c r="F3" s="46">
        <f>E3/B3</f>
        <v>0.1965811965811966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(346+125+150+112+102)*25/1000</f>
        <v>20.875</v>
      </c>
      <c r="F5" s="46">
        <f>E5/(C5/30)</f>
        <v>41.75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17*50/1000</f>
        <v>0.85</v>
      </c>
      <c r="F14" s="8">
        <f t="shared" ref="F14:F15" si="0">E14/(C14/30)</f>
        <v>0.25525525525525522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(91)*30/1000</f>
        <v>2.73</v>
      </c>
      <c r="F15" s="8">
        <f>E15/(C15/30)</f>
        <v>1.3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89" priority="3" operator="lessThan">
      <formula>7</formula>
    </cfRule>
  </conditionalFormatting>
  <conditionalFormatting sqref="F14:F15">
    <cfRule type="cellIs" dxfId="88" priority="2" operator="lessThan">
      <formula>7</formula>
    </cfRule>
  </conditionalFormatting>
  <conditionalFormatting sqref="F14:F17">
    <cfRule type="cellIs" dxfId="87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C165-68A2-4BD2-B39D-3BFD61785338}">
  <dimension ref="A1:G25"/>
  <sheetViews>
    <sheetView zoomScale="80" zoomScaleNormal="80" workbookViewId="0">
      <selection activeCell="J15" sqref="J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(9)*10/1000</f>
        <v>0.09</v>
      </c>
      <c r="F3" s="46">
        <f>E3/B3</f>
        <v>7.6923076923076927E-2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(341+121+150+112+99)*25/1000</f>
        <v>20.574999999999999</v>
      </c>
      <c r="F5" s="46">
        <f>E5/(C5/30)</f>
        <v>41.15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49*50/1000</f>
        <v>2.4500000000000002</v>
      </c>
      <c r="F14" s="8">
        <f t="shared" ref="F14:F15" si="0">E14/(C14/30)</f>
        <v>0.73573573573573581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99*30/1000</f>
        <v>2.97</v>
      </c>
      <c r="F15" s="8">
        <f>E15/(C15/30)</f>
        <v>1.4142857142857144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86" priority="3" operator="lessThan">
      <formula>7</formula>
    </cfRule>
  </conditionalFormatting>
  <conditionalFormatting sqref="F14:F15">
    <cfRule type="cellIs" dxfId="85" priority="2" operator="lessThan">
      <formula>7</formula>
    </cfRule>
  </conditionalFormatting>
  <conditionalFormatting sqref="F14:F17">
    <cfRule type="cellIs" dxfId="84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0F74-2B3A-4B11-8BD9-DCFB224AD6CD}">
  <dimension ref="A1:G25"/>
  <sheetViews>
    <sheetView zoomScale="80" zoomScaleNormal="80" workbookViewId="0">
      <selection activeCell="I15" sqref="I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2*10/1000</f>
        <v>0.02</v>
      </c>
      <c r="F3" s="46">
        <f>E3/B3</f>
        <v>1.7094017094017096E-2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(312+111+146+103+94)*25/1000</f>
        <v>19.149999999999999</v>
      </c>
      <c r="F5" s="46">
        <f>E5/(C5/30)</f>
        <v>38.299999999999997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(14+21+19+24+14+13+18)*50/1000</f>
        <v>6.15</v>
      </c>
      <c r="F14" s="8">
        <f t="shared" ref="F14:F15" si="0">E14/(C14/30)</f>
        <v>1.8468468468468469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(67+50+42+12+18)*30/1000</f>
        <v>5.67</v>
      </c>
      <c r="F15" s="8">
        <f>E15/(C15/30)</f>
        <v>2.6999999999999997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83" priority="3" operator="lessThan">
      <formula>7</formula>
    </cfRule>
  </conditionalFormatting>
  <conditionalFormatting sqref="F14:F15">
    <cfRule type="cellIs" dxfId="82" priority="2" operator="lessThan">
      <formula>7</formula>
    </cfRule>
  </conditionalFormatting>
  <conditionalFormatting sqref="F14:F17">
    <cfRule type="cellIs" dxfId="81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916B-D4D5-47D6-B4B4-174931914928}">
  <dimension ref="A1:G25"/>
  <sheetViews>
    <sheetView zoomScale="80" zoomScaleNormal="80" workbookViewId="0">
      <selection activeCell="J14" sqref="J14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2*10/1000</f>
        <v>0.02</v>
      </c>
      <c r="F3" s="46">
        <f>E3/B3</f>
        <v>1.7094017094017096E-2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(317+148+113+105+95)*25/1000</f>
        <v>19.45</v>
      </c>
      <c r="F5" s="46">
        <f>E5/(C5/30)</f>
        <v>38.9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(14+11+7+15+4+3+8)*50/1000</f>
        <v>3.1</v>
      </c>
      <c r="F14" s="8">
        <f t="shared" ref="F14:F15" si="0">E14/(C14/30)</f>
        <v>0.93093093093093093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(67+50+42+12+18)*30/1000</f>
        <v>5.67</v>
      </c>
      <c r="F15" s="8">
        <f>E15/(C15/30)</f>
        <v>2.6999999999999997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80" priority="3" operator="lessThan">
      <formula>7</formula>
    </cfRule>
  </conditionalFormatting>
  <conditionalFormatting sqref="F14:F15">
    <cfRule type="cellIs" dxfId="79" priority="2" operator="lessThan">
      <formula>7</formula>
    </cfRule>
  </conditionalFormatting>
  <conditionalFormatting sqref="F14:F17">
    <cfRule type="cellIs" dxfId="78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D197-8325-477B-834C-4E10FAF4CB0E}">
  <dimension ref="A1:G25"/>
  <sheetViews>
    <sheetView zoomScale="80" zoomScaleNormal="80" workbookViewId="0">
      <selection activeCell="I14" sqref="I14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2*10/1000</f>
        <v>0.02</v>
      </c>
      <c r="F3" s="46">
        <f>E3/B3</f>
        <v>1.7094017094017096E-2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(294+103+138+95+89)*25/1000</f>
        <v>17.975000000000001</v>
      </c>
      <c r="F5" s="46">
        <f>E5/(C5/30)</f>
        <v>35.950000000000003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(13+5+13+12+12+12+12)*50/1000</f>
        <v>3.95</v>
      </c>
      <c r="F14" s="8">
        <f t="shared" ref="F14:F15" si="0">E14/(C14/30)</f>
        <v>1.1861861861861862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(103+29+22+26)*30/1000</f>
        <v>5.4</v>
      </c>
      <c r="F15" s="8">
        <f>E15/(C15/30)</f>
        <v>2.5714285714285716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77" priority="3" operator="lessThan">
      <formula>7</formula>
    </cfRule>
  </conditionalFormatting>
  <conditionalFormatting sqref="F14:F15">
    <cfRule type="cellIs" dxfId="76" priority="2" operator="lessThan">
      <formula>7</formula>
    </cfRule>
  </conditionalFormatting>
  <conditionalFormatting sqref="F14:F17">
    <cfRule type="cellIs" dxfId="75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85B4-3D7D-486E-B926-F8E9BEFD07D4}">
  <dimension ref="A1:G25"/>
  <sheetViews>
    <sheetView topLeftCell="C1" zoomScale="80" zoomScaleNormal="80" workbookViewId="0">
      <selection activeCell="J23" sqref="J2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(2)*10/1000</f>
        <v>0.02</v>
      </c>
      <c r="F3" s="46">
        <f>E3/B3</f>
        <v>1.7094017094017096E-2</v>
      </c>
      <c r="G3" s="47" t="s">
        <v>9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(294+103+138+95+89)*25/1000</f>
        <v>17.975000000000001</v>
      </c>
      <c r="F5" s="46">
        <f>E5/(C5/30)</f>
        <v>35.950000000000003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(10+12+13+24+10+20)*50/1000</f>
        <v>4.45</v>
      </c>
      <c r="F14" s="8">
        <f t="shared" ref="F14:F15" si="0">E14/(C14/30)</f>
        <v>1.3363363363363363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(103+29+22+26)*30/1000</f>
        <v>5.4</v>
      </c>
      <c r="F15" s="8">
        <f>E15/(C15/30)</f>
        <v>2.5714285714285716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(16.5)</f>
        <v>16.5</v>
      </c>
      <c r="F16" s="8">
        <f>E16/(C16/30)</f>
        <v>11</v>
      </c>
      <c r="G16" s="23" t="s">
        <v>11</v>
      </c>
    </row>
    <row r="17" spans="1:7" ht="30.75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(13+15)*1.3</f>
        <v>36.4</v>
      </c>
      <c r="F17" s="8">
        <f t="shared" ref="F17" si="1">E17/(C17/30)</f>
        <v>18.666666666666668</v>
      </c>
      <c r="G17" s="28" t="s">
        <v>21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74" priority="3" operator="lessThan">
      <formula>7</formula>
    </cfRule>
  </conditionalFormatting>
  <conditionalFormatting sqref="F14:F15">
    <cfRule type="cellIs" dxfId="73" priority="2" operator="lessThan">
      <formula>7</formula>
    </cfRule>
  </conditionalFormatting>
  <conditionalFormatting sqref="F14:F17">
    <cfRule type="cellIs" dxfId="72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8D92-44C5-4A5B-A319-0697E014E226}">
  <dimension ref="A1:G25"/>
  <sheetViews>
    <sheetView zoomScale="80" zoomScaleNormal="80" workbookViewId="0">
      <selection activeCell="E17" sqref="E17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(170+99+92+94+57+84+74)*20/1000</f>
        <v>13.4</v>
      </c>
      <c r="F3" s="46">
        <f>E3/B3</f>
        <v>11.452991452991453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(268+96+128+86+84)*25/1000</f>
        <v>16.55</v>
      </c>
      <c r="F5" s="46">
        <f>E5/(C5/30)</f>
        <v>33.1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(17+14+6+12+20+5+13)*50/1000</f>
        <v>4.3499999999999996</v>
      </c>
      <c r="F14" s="8">
        <f t="shared" ref="F14:F15" si="0">E14/(C14/30)</f>
        <v>1.3063063063063061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(134+41+11+31+33)*30/1000</f>
        <v>7.5</v>
      </c>
      <c r="F15" s="8">
        <f>E15/(C15/30)</f>
        <v>3.5714285714285712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(9)</f>
        <v>9</v>
      </c>
      <c r="F16" s="8">
        <f>E16/(C16/30)</f>
        <v>6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(11+15)*1.3</f>
        <v>33.800000000000004</v>
      </c>
      <c r="F17" s="8">
        <f t="shared" ref="F17" si="1">E17/(C17/30)</f>
        <v>17.333333333333336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71" priority="3" operator="lessThan">
      <formula>7</formula>
    </cfRule>
  </conditionalFormatting>
  <conditionalFormatting sqref="F14:F15">
    <cfRule type="cellIs" dxfId="70" priority="2" operator="lessThan">
      <formula>7</formula>
    </cfRule>
  </conditionalFormatting>
  <conditionalFormatting sqref="F14:F17">
    <cfRule type="cellIs" dxfId="69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B91C-B6E5-4909-8D18-DEECC1109EDB}">
  <dimension ref="A1:G25"/>
  <sheetViews>
    <sheetView zoomScale="80" zoomScaleNormal="80" workbookViewId="0">
      <selection activeCell="J15" sqref="J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(180+65+63+50+21+21)*20/1000</f>
        <v>8</v>
      </c>
      <c r="F3" s="46">
        <f>E3/B3</f>
        <v>6.8376068376068382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(542+365+314+100+183+230)*25/1000</f>
        <v>43.35</v>
      </c>
      <c r="F5" s="46">
        <f>E5/(C5/30)</f>
        <v>86.7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(12+10+9+26+20+5+13)*50/1000</f>
        <v>4.75</v>
      </c>
      <c r="F14" s="8">
        <f t="shared" ref="F14:F15" si="0">E14/(C14/30)</f>
        <v>1.4264264264264264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(126+64+41+31+33)*30/1000</f>
        <v>8.85</v>
      </c>
      <c r="F15" s="8">
        <f>E15/(C15/30)</f>
        <v>4.2142857142857135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21.3</f>
        <v>21.3</v>
      </c>
      <c r="F16" s="8">
        <f>E16/(C16/30)</f>
        <v>14.200000000000001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(5.69+15)*1.3</f>
        <v>26.897000000000002</v>
      </c>
      <c r="F17" s="8">
        <f t="shared" ref="F17" si="1">E17/(C17/30)</f>
        <v>13.793333333333335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68" priority="3" operator="lessThan">
      <formula>7</formula>
    </cfRule>
  </conditionalFormatting>
  <conditionalFormatting sqref="F14:F15">
    <cfRule type="cellIs" dxfId="67" priority="2" operator="lessThan">
      <formula>7</formula>
    </cfRule>
  </conditionalFormatting>
  <conditionalFormatting sqref="F14:F17">
    <cfRule type="cellIs" dxfId="66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1470-8081-4951-A459-B7F11B9D4781}">
  <dimension ref="A1:G25"/>
  <sheetViews>
    <sheetView zoomScale="80" zoomScaleNormal="80" workbookViewId="0">
      <selection activeCell="K13" sqref="K1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(150+57+55+49+6+11)*20/1000</f>
        <v>6.56</v>
      </c>
      <c r="F3" s="46">
        <f>E3/B3</f>
        <v>5.6068376068376065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(536+365+314+100+183+230)*25/1000</f>
        <v>43.2</v>
      </c>
      <c r="F5" s="46">
        <f>E5/(C5/30)</f>
        <v>86.4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/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(10+8+8+17+20+5+13)*50/1000</f>
        <v>4.05</v>
      </c>
      <c r="F14" s="8">
        <f t="shared" ref="F14:F15" si="0">E14/(C14/30)</f>
        <v>1.2162162162162162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(126+62+39+24+33)*30/1000</f>
        <v>8.52</v>
      </c>
      <c r="F15" s="8">
        <f>E15/(C15/30)</f>
        <v>4.0571428571428569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20.28</f>
        <v>20.28</v>
      </c>
      <c r="F16" s="8">
        <f>E16/(C16/30)</f>
        <v>13.520000000000001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(15.63)*1.3</f>
        <v>20.319000000000003</v>
      </c>
      <c r="F17" s="8">
        <f t="shared" ref="F17" si="1">E17/(C17/30)</f>
        <v>10.420000000000002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65" priority="3" operator="lessThan">
      <formula>7</formula>
    </cfRule>
  </conditionalFormatting>
  <conditionalFormatting sqref="F14:F15">
    <cfRule type="cellIs" dxfId="64" priority="2" operator="lessThan">
      <formula>7</formula>
    </cfRule>
  </conditionalFormatting>
  <conditionalFormatting sqref="F14:F17">
    <cfRule type="cellIs" dxfId="63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F5B9-C84A-483A-87F0-A69F2DDA8599}">
  <dimension ref="A1:G25"/>
  <sheetViews>
    <sheetView zoomScale="80" zoomScaleNormal="80" workbookViewId="0">
      <selection activeCell="I15" sqref="I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(110+41+40+31+0+0)*20/1000</f>
        <v>4.4400000000000004</v>
      </c>
      <c r="F3" s="46">
        <f>E3/B3</f>
        <v>3.7948717948717956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(527+365+314+100+183+226)*25/1000</f>
        <v>42.875</v>
      </c>
      <c r="F5" s="46">
        <f>E5/(C5/30)</f>
        <v>85.75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12+4+12+9+2+5</f>
        <v>44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(9+8+7+17+13+5+12)*50/1000</f>
        <v>3.55</v>
      </c>
      <c r="F14" s="8">
        <f t="shared" ref="F14:F15" si="0">E14/(C14/30)</f>
        <v>1.0660660660660659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(118+62+35+24+33)*30/1000</f>
        <v>8.16</v>
      </c>
      <c r="F15" s="8">
        <f>E15/(C15/30)</f>
        <v>3.8857142857142857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19.43</f>
        <v>19.43</v>
      </c>
      <c r="F16" s="8">
        <f>E16/(C16/30)</f>
        <v>12.953333333333333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(14.79)*1.3</f>
        <v>19.227</v>
      </c>
      <c r="F17" s="8">
        <f t="shared" ref="F17" si="1">E17/(C17/30)</f>
        <v>9.8600000000000012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62" priority="3" operator="lessThan">
      <formula>7</formula>
    </cfRule>
  </conditionalFormatting>
  <conditionalFormatting sqref="F14:F15">
    <cfRule type="cellIs" dxfId="61" priority="2" operator="lessThan">
      <formula>7</formula>
    </cfRule>
  </conditionalFormatting>
  <conditionalFormatting sqref="F14:F17">
    <cfRule type="cellIs" dxfId="60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6B98-8B3D-4A51-93C4-BAFFA97DE498}">
  <dimension ref="A1:G25"/>
  <sheetViews>
    <sheetView zoomScale="80" zoomScaleNormal="80" workbookViewId="0">
      <selection activeCell="K11" sqref="K11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(95+28+29+26+21+11)*20/1000</f>
        <v>4.2</v>
      </c>
      <c r="F3" s="46">
        <f>E3/B3</f>
        <v>3.5897435897435903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(523+365+314+100+183+226)*25/1000</f>
        <v>42.774999999999999</v>
      </c>
      <c r="F5" s="46">
        <f>E5/(C5/30)</f>
        <v>85.55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12+4+12+9+2+5</f>
        <v>44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(33+32+14+14+14+5+13)*50/1000</f>
        <v>6.25</v>
      </c>
      <c r="F14" s="8">
        <f t="shared" ref="F14:F15" si="0">E14/(C14/30)</f>
        <v>1.8768768768768769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(118+49+35+24+33)*30/1000</f>
        <v>7.77</v>
      </c>
      <c r="F15" s="8">
        <f>E15/(C15/30)</f>
        <v>3.6999999999999997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18.3</f>
        <v>18.3</v>
      </c>
      <c r="F16" s="8">
        <f>E16/(C16/30)</f>
        <v>12.200000000000001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(13.67)*1.3</f>
        <v>17.771000000000001</v>
      </c>
      <c r="F17" s="8">
        <f t="shared" ref="F17" si="1">E17/(C17/30)</f>
        <v>9.1133333333333333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59" priority="3" operator="lessThan">
      <formula>7</formula>
    </cfRule>
  </conditionalFormatting>
  <conditionalFormatting sqref="F14:F15">
    <cfRule type="cellIs" dxfId="58" priority="2" operator="lessThan">
      <formula>7</formula>
    </cfRule>
  </conditionalFormatting>
  <conditionalFormatting sqref="F14:F17">
    <cfRule type="cellIs" dxfId="57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434F-E20E-4A34-83EB-4EED256980F2}">
  <dimension ref="A1:G25"/>
  <sheetViews>
    <sheetView zoomScale="80" zoomScaleNormal="80" workbookViewId="0">
      <selection activeCell="E17" sqref="E17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(70+17+18+20+0+0)*20/1000</f>
        <v>2.5</v>
      </c>
      <c r="F3" s="46">
        <f>E3/B3</f>
        <v>2.1367521367521367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(517+365+314+100+183+226)*25/1000</f>
        <v>42.625</v>
      </c>
      <c r="F5" s="46">
        <f>E5/(C5/30)</f>
        <v>85.25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12+4+12+9+2+5</f>
        <v>44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(28+29+13+16+14+5+13)*50/1000</f>
        <v>5.9</v>
      </c>
      <c r="F14" s="8">
        <f t="shared" ref="F14:F15" si="0">E14/(C14/30)</f>
        <v>1.7717717717717718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(118+49+35+24+33)*30/1000</f>
        <v>7.77</v>
      </c>
      <c r="F15" s="8">
        <f>E15/(C15/30)</f>
        <v>3.6999999999999997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16.82</f>
        <v>16.82</v>
      </c>
      <c r="F16" s="8">
        <f>E16/(C16/30)</f>
        <v>11.213333333333333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(12.15)*1.3</f>
        <v>15.795000000000002</v>
      </c>
      <c r="F17" s="8">
        <f t="shared" ref="F17" si="1">E17/(C17/30)</f>
        <v>8.1000000000000014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56" priority="3" operator="lessThan">
      <formula>7</formula>
    </cfRule>
  </conditionalFormatting>
  <conditionalFormatting sqref="F14:F15">
    <cfRule type="cellIs" dxfId="55" priority="2" operator="lessThan">
      <formula>7</formula>
    </cfRule>
  </conditionalFormatting>
  <conditionalFormatting sqref="F14:F17">
    <cfRule type="cellIs" dxfId="54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95E9-C06A-442E-9AB3-BFEA50249195}">
  <dimension ref="A1:G25"/>
  <sheetViews>
    <sheetView zoomScale="80" zoomScaleNormal="80" workbookViewId="0">
      <selection activeCell="K13" sqref="K1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(52+21+26+10+0+8)*20/1000</f>
        <v>2.34</v>
      </c>
      <c r="F3" s="46">
        <f>E3/B3</f>
        <v>2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(511+365+314+100+183+224)*25/1000</f>
        <v>42.424999999999997</v>
      </c>
      <c r="F5" s="46">
        <f>E5/(C5/30)</f>
        <v>84.85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12+4+12+9+2+5</f>
        <v>44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(37+41+24+11+14+5+13)*50/1000</f>
        <v>7.25</v>
      </c>
      <c r="F14" s="8">
        <f t="shared" ref="F14:F15" si="0">E14/(C14/30)</f>
        <v>2.1771771771771773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(110+49+35+24+33)*30/1000</f>
        <v>7.53</v>
      </c>
      <c r="F15" s="8">
        <f>E15/(C15/30)</f>
        <v>3.5857142857142859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15.3</f>
        <v>15.3</v>
      </c>
      <c r="F16" s="8">
        <f>E16/(C16/30)</f>
        <v>10.200000000000001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(10.9)*1.3</f>
        <v>14.170000000000002</v>
      </c>
      <c r="F17" s="8">
        <f t="shared" ref="F17" si="1">E17/(C17/30)</f>
        <v>7.2666666666666675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53" priority="3" operator="lessThan">
      <formula>7</formula>
    </cfRule>
  </conditionalFormatting>
  <conditionalFormatting sqref="F14:F15">
    <cfRule type="cellIs" dxfId="52" priority="2" operator="lessThan">
      <formula>7</formula>
    </cfRule>
  </conditionalFormatting>
  <conditionalFormatting sqref="F14:F17">
    <cfRule type="cellIs" dxfId="51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F1A2-397C-4B0C-8A52-EEC7EAB499A0}">
  <dimension ref="A1:G25"/>
  <sheetViews>
    <sheetView zoomScale="80" zoomScaleNormal="80" workbookViewId="0">
      <selection activeCell="J13" sqref="J1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(48+11+18+15)*20/1000</f>
        <v>1.84</v>
      </c>
      <c r="F3" s="46">
        <f>E3/B3</f>
        <v>1.5726495726495728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(507+365+314+100+183+224)*25/1000</f>
        <v>42.325000000000003</v>
      </c>
      <c r="F5" s="46">
        <f>E5/(C5/30)</f>
        <v>84.65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12+4+12+9+2+5</f>
        <v>44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(35+39+23+10+14+5+13)*25/1000</f>
        <v>3.4750000000000001</v>
      </c>
      <c r="F14" s="8">
        <f t="shared" ref="F14:F15" si="0">E14/(C14/30)</f>
        <v>1.0435435435435436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(110+49+35+24+33)*30/1000</f>
        <v>7.53</v>
      </c>
      <c r="F15" s="8">
        <f>E15/(C15/30)</f>
        <v>3.5857142857142859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14.35</f>
        <v>14.35</v>
      </c>
      <c r="F16" s="8">
        <f>E16/(C16/30)</f>
        <v>9.5666666666666664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(9.72)*1.3</f>
        <v>12.636000000000001</v>
      </c>
      <c r="F17" s="8">
        <f>E17/(C17/30)</f>
        <v>6.48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50" priority="3" operator="lessThan">
      <formula>7</formula>
    </cfRule>
  </conditionalFormatting>
  <conditionalFormatting sqref="F14:F15">
    <cfRule type="cellIs" dxfId="49" priority="2" operator="lessThan">
      <formula>7</formula>
    </cfRule>
  </conditionalFormatting>
  <conditionalFormatting sqref="F14:F17">
    <cfRule type="cellIs" dxfId="48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BE96-64CE-42A9-AFC8-34396EA49B7E}">
  <dimension ref="A1:G25"/>
  <sheetViews>
    <sheetView zoomScale="80" zoomScaleNormal="80" workbookViewId="0">
      <selection activeCell="J13" sqref="J1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(11+6)*20/1000</f>
        <v>0.34</v>
      </c>
      <c r="F3" s="46">
        <f>E3/B3</f>
        <v>0.29059829059829062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(503+365+314+98+187+220)*25/1000</f>
        <v>42.174999999999997</v>
      </c>
      <c r="F5" s="46">
        <f>E5/(C5/30)</f>
        <v>84.35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12+4+12+9+2+5</f>
        <v>44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(35+39+23+10+14+5+13)*25/1000</f>
        <v>3.4750000000000001</v>
      </c>
      <c r="F14" s="8">
        <f t="shared" ref="F14:F15" si="0">E14/(C14/30)</f>
        <v>1.0435435435435436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(110+49+35+24+33)*30/1000</f>
        <v>7.53</v>
      </c>
      <c r="F15" s="8">
        <f>E15/(C15/30)</f>
        <v>3.5857142857142859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9.61+3</f>
        <v>12.61</v>
      </c>
      <c r="F16" s="8">
        <f>E16/(C16/30)</f>
        <v>8.4066666666666663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(9)*1.3</f>
        <v>11.700000000000001</v>
      </c>
      <c r="F17" s="8">
        <f>E17/(C17/30)</f>
        <v>6.0000000000000009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47" priority="3" operator="lessThan">
      <formula>7</formula>
    </cfRule>
  </conditionalFormatting>
  <conditionalFormatting sqref="F14:F15">
    <cfRule type="cellIs" dxfId="46" priority="2" operator="lessThan">
      <formula>7</formula>
    </cfRule>
  </conditionalFormatting>
  <conditionalFormatting sqref="F14:F17">
    <cfRule type="cellIs" dxfId="45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67C3-B2A9-473E-8D9B-CD6E2A106BB7}">
  <dimension ref="A1:G25"/>
  <sheetViews>
    <sheetView zoomScale="80" zoomScaleNormal="80" workbookViewId="0">
      <selection activeCell="J15" sqref="J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(0)*20/1000</f>
        <v>0</v>
      </c>
      <c r="F3" s="46">
        <f>E3/B3</f>
        <v>0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(490+365+33+93+177+214)*25/1000</f>
        <v>34.299999999999997</v>
      </c>
      <c r="F5" s="46">
        <f>E5/(C5/30)</f>
        <v>68.599999999999994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(34+39+24+11+14+5+13)*25/1000</f>
        <v>3.5</v>
      </c>
      <c r="F14" s="8">
        <f t="shared" ref="F14:F15" si="0">E14/(C14/30)</f>
        <v>1.0510510510510511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(110+49+35+24+33)*30/1000</f>
        <v>7.53</v>
      </c>
      <c r="F15" s="8">
        <f>E15/(C15/30)</f>
        <v>3.5857142857142859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10.97</f>
        <v>10.97</v>
      </c>
      <c r="F16" s="8">
        <f>E16/(C16/30)</f>
        <v>7.3133333333333335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(7.82)*1.3</f>
        <v>10.166</v>
      </c>
      <c r="F17" s="8">
        <f>E17/(C17/30)</f>
        <v>5.2133333333333338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44" priority="3" operator="lessThan">
      <formula>7</formula>
    </cfRule>
  </conditionalFormatting>
  <conditionalFormatting sqref="F14:F15">
    <cfRule type="cellIs" dxfId="43" priority="2" operator="lessThan">
      <formula>7</formula>
    </cfRule>
  </conditionalFormatting>
  <conditionalFormatting sqref="F14:F17">
    <cfRule type="cellIs" dxfId="42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C10B-4032-4D19-A83A-F63E0869353D}">
  <dimension ref="A1:G25"/>
  <sheetViews>
    <sheetView zoomScale="80" zoomScaleNormal="80" workbookViewId="0">
      <selection activeCell="E16" sqref="E16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(0)*20/1000</f>
        <v>0</v>
      </c>
      <c r="F3" s="46">
        <f>E3/B3</f>
        <v>0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(480+365+310+91+175+213)*25/1000</f>
        <v>40.85</v>
      </c>
      <c r="F5" s="46">
        <f>E5/(C5/30)</f>
        <v>81.7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(30+35+20+7+11+2+10)*25/1000</f>
        <v>2.875</v>
      </c>
      <c r="F14" s="8">
        <f t="shared" ref="F14:F15" si="0">E14/(C14/30)</f>
        <v>0.86336336336336339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(110+45+31+20+24)*30/1000</f>
        <v>6.9</v>
      </c>
      <c r="F15" s="8">
        <f>E15/(C15/30)</f>
        <v>3.2857142857142856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10.07</f>
        <v>10.07</v>
      </c>
      <c r="F16" s="8">
        <f>E16/(C16/30)</f>
        <v>6.7133333333333338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(6.93)*1.3</f>
        <v>9.0090000000000003</v>
      </c>
      <c r="F17" s="8">
        <f>E17/(C17/30)</f>
        <v>4.62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41" priority="3" operator="lessThan">
      <formula>7</formula>
    </cfRule>
  </conditionalFormatting>
  <conditionalFormatting sqref="F14:F15">
    <cfRule type="cellIs" dxfId="40" priority="2" operator="lessThan">
      <formula>7</formula>
    </cfRule>
  </conditionalFormatting>
  <conditionalFormatting sqref="F14:F17">
    <cfRule type="cellIs" dxfId="39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2B67-A6A4-4EA5-AFA9-C09BF72F26ED}">
  <dimension ref="A1:G25"/>
  <sheetViews>
    <sheetView zoomScale="80" zoomScaleNormal="80" workbookViewId="0">
      <selection activeCell="F23" sqref="F2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(0)*20/1000</f>
        <v>0</v>
      </c>
      <c r="F3" s="46">
        <f>E3/B3</f>
        <v>0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(464+0+365+301+89+173+209)*25/1000</f>
        <v>40.024999999999999</v>
      </c>
      <c r="F5" s="46">
        <f>E5/(C5/30)</f>
        <v>80.05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(26+31+8+1+4+2+8)*25/1000</f>
        <v>2</v>
      </c>
      <c r="F14" s="8">
        <f t="shared" ref="F14:F15" si="0">E14/(C14/30)</f>
        <v>0.60060060060060061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(110+35+11+14+0+18)*30/1000</f>
        <v>5.64</v>
      </c>
      <c r="F15" s="8">
        <f>E15/(C15/30)</f>
        <v>2.6857142857142855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10.07</f>
        <v>10.07</v>
      </c>
      <c r="F16" s="8">
        <f>E16/(C16/30)</f>
        <v>6.7133333333333338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(6.93)*1.3</f>
        <v>9.0090000000000003</v>
      </c>
      <c r="F17" s="8">
        <f>E17/(C17/30)</f>
        <v>4.62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38" priority="3" operator="lessThan">
      <formula>7</formula>
    </cfRule>
  </conditionalFormatting>
  <conditionalFormatting sqref="F14:F15">
    <cfRule type="cellIs" dxfId="37" priority="2" operator="lessThan">
      <formula>7</formula>
    </cfRule>
  </conditionalFormatting>
  <conditionalFormatting sqref="F14:F17">
    <cfRule type="cellIs" dxfId="36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EE7-AEAF-47CE-9E8B-7BAE81A7ECA1}">
  <dimension ref="A1:G25"/>
  <sheetViews>
    <sheetView zoomScale="80" zoomScaleNormal="80" workbookViewId="0">
      <selection activeCell="F24" sqref="F24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(0)*20/1000</f>
        <v>0</v>
      </c>
      <c r="F3" s="46">
        <f>E3/B3</f>
        <v>0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(451+0+365+295+86+170+204)*25/1000</f>
        <v>39.274999999999999</v>
      </c>
      <c r="F5" s="46">
        <f>E5/(C5/30)</f>
        <v>78.55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(2+11+5+2+3+1+1)*25/1000</f>
        <v>0.625</v>
      </c>
      <c r="F14" s="8">
        <f t="shared" ref="F14:F15" si="0">E14/(C14/30)</f>
        <v>0.18768768768768768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(82+0+30+6+10+0+21)*30/1000</f>
        <v>4.47</v>
      </c>
      <c r="F15" s="8">
        <f>E15/(C15/30)</f>
        <v>2.1285714285714286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10.07</f>
        <v>10.07</v>
      </c>
      <c r="F16" s="8">
        <f>E16/(C16/30)</f>
        <v>6.7133333333333338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(6.93)*1.3</f>
        <v>9.0090000000000003</v>
      </c>
      <c r="F17" s="8">
        <f>E17/(C17/30)</f>
        <v>4.62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35" priority="3" operator="lessThan">
      <formula>7</formula>
    </cfRule>
  </conditionalFormatting>
  <conditionalFormatting sqref="F14:F15">
    <cfRule type="cellIs" dxfId="34" priority="2" operator="lessThan">
      <formula>7</formula>
    </cfRule>
  </conditionalFormatting>
  <conditionalFormatting sqref="F14:F17">
    <cfRule type="cellIs" dxfId="33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386F-41ED-4242-8D3C-399BBEA316D3}">
  <dimension ref="A1:G25"/>
  <sheetViews>
    <sheetView zoomScale="80" zoomScaleNormal="80" workbookViewId="0">
      <selection activeCell="E12" sqref="E12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(0)*20/1000</f>
        <v>0</v>
      </c>
      <c r="F3" s="46">
        <f>E3/B3</f>
        <v>0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(423+0+365+389+83+167+199)*25/1000</f>
        <v>40.65</v>
      </c>
      <c r="F5" s="46">
        <f>E5/(C5/30)</f>
        <v>81.3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10+4+11+9+2+3</f>
        <v>39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(2+8+17+3+1+5)*25/1000</f>
        <v>0.9</v>
      </c>
      <c r="F14" s="8">
        <f t="shared" ref="F14:F15" si="0">E14/(C14/30)</f>
        <v>0.27027027027027029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(9+0+30+6+10+0+21)*30/1000</f>
        <v>2.2799999999999998</v>
      </c>
      <c r="F15" s="8">
        <f>E15/(C15/30)</f>
        <v>1.0857142857142856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10.07</f>
        <v>10.07</v>
      </c>
      <c r="F16" s="8">
        <f>E16/(C16/30)</f>
        <v>6.7133333333333338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(6.93)*1.3</f>
        <v>9.0090000000000003</v>
      </c>
      <c r="F17" s="8">
        <f>E17/(C17/30)</f>
        <v>4.62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32" priority="3" operator="lessThan">
      <formula>7</formula>
    </cfRule>
  </conditionalFormatting>
  <conditionalFormatting sqref="F14:F15">
    <cfRule type="cellIs" dxfId="31" priority="2" operator="lessThan">
      <formula>7</formula>
    </cfRule>
  </conditionalFormatting>
  <conditionalFormatting sqref="F14:F17">
    <cfRule type="cellIs" dxfId="30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4FE7-26EE-4694-99B0-DC86EA2922A8}">
  <dimension ref="A1:G25"/>
  <sheetViews>
    <sheetView zoomScale="80" zoomScaleNormal="80" workbookViewId="0">
      <selection activeCell="E16" sqref="E16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(0)*20/1000</f>
        <v>0</v>
      </c>
      <c r="F3" s="46">
        <f>E3/B3</f>
        <v>0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(405+0+365+382+80+164+193)*25/1000</f>
        <v>39.725000000000001</v>
      </c>
      <c r="F5" s="46">
        <f>E5/(C5/30)</f>
        <v>79.45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10+4+11+9+2+3</f>
        <v>39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(0+0+4+6+0+0+3)*25/1000</f>
        <v>0.32500000000000001</v>
      </c>
      <c r="F14" s="8">
        <f t="shared" ref="F14:F15" si="0">E14/(C14/30)</f>
        <v>9.7597597597597605E-2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(0+0+22+6+10+0+21)*30/1000</f>
        <v>1.77</v>
      </c>
      <c r="F15" s="8">
        <f>E15/(C15/30)</f>
        <v>0.84285714285714286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10.07</f>
        <v>10.07</v>
      </c>
      <c r="F16" s="8">
        <f>E16/(C16/30)</f>
        <v>6.7133333333333338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(6.93)*1.3</f>
        <v>9.0090000000000003</v>
      </c>
      <c r="F17" s="8">
        <f>E17/(C17/30)</f>
        <v>4.62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29" priority="3" operator="lessThan">
      <formula>7</formula>
    </cfRule>
  </conditionalFormatting>
  <conditionalFormatting sqref="F14:F15">
    <cfRule type="cellIs" dxfId="28" priority="2" operator="lessThan">
      <formula>7</formula>
    </cfRule>
  </conditionalFormatting>
  <conditionalFormatting sqref="F14:F17">
    <cfRule type="cellIs" dxfId="27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8134-A2D8-4EF6-A187-035A905492ED}">
  <dimension ref="A1:G25"/>
  <sheetViews>
    <sheetView zoomScale="80" zoomScaleNormal="80" workbookViewId="0">
      <selection activeCell="H15" sqref="H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(0)*20/1000</f>
        <v>0</v>
      </c>
      <c r="F3" s="46">
        <f>E3/B3</f>
        <v>0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(397+365+380+79+163+191)*25/1000</f>
        <v>39.375</v>
      </c>
      <c r="F5" s="46">
        <f>E5/(C5/30)</f>
        <v>78.75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(16+15+10+15+11+3)*25/1000</f>
        <v>1.75</v>
      </c>
      <c r="F14" s="8">
        <f t="shared" ref="F14:F15" si="0">E14/(C14/30)</f>
        <v>0.52552552552552556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(22+6+10+21)*30/1000</f>
        <v>1.77</v>
      </c>
      <c r="F15" s="8">
        <f>E15/(C15/30)</f>
        <v>0.84285714285714286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2.45+19.2</f>
        <v>21.65</v>
      </c>
      <c r="F16" s="8">
        <f>E16/(C16/30)</f>
        <v>14.433333333333332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(18.4+2.95)*1.3</f>
        <v>27.754999999999999</v>
      </c>
      <c r="F17" s="8">
        <f>E17/(C17/30)</f>
        <v>14.233333333333333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26" priority="3" operator="lessThan">
      <formula>7</formula>
    </cfRule>
  </conditionalFormatting>
  <conditionalFormatting sqref="F14:F15">
    <cfRule type="cellIs" dxfId="25" priority="2" operator="lessThan">
      <formula>7</formula>
    </cfRule>
  </conditionalFormatting>
  <conditionalFormatting sqref="F14:F17">
    <cfRule type="cellIs" dxfId="24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C410-680F-4E41-ADFC-C1DF9B2E7A96}">
  <dimension ref="A1:G25"/>
  <sheetViews>
    <sheetView zoomScale="80" zoomScaleNormal="80" workbookViewId="0">
      <selection activeCell="E16" sqref="E16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v>35</v>
      </c>
      <c r="F3" s="46">
        <f>E3/B3</f>
        <v>29.914529914529915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(374+359+367+72+156+181)*25/1000</f>
        <v>37.725000000000001</v>
      </c>
      <c r="F5" s="46">
        <f>E5/(C5/30)</f>
        <v>75.45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(22+6+10+21)*25/1000</f>
        <v>1.4750000000000001</v>
      </c>
      <c r="F14" s="8">
        <f t="shared" ref="F14:F15" si="0">E14/(C14/30)</f>
        <v>0.44294294294294295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(22+6+10+21)*30/1000</f>
        <v>1.77</v>
      </c>
      <c r="F15" s="8">
        <f>E15/(C15/30)</f>
        <v>0.84285714285714286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13.27+7.03</f>
        <v>20.3</v>
      </c>
      <c r="F16" s="8">
        <f>E16/(C16/30)</f>
        <v>13.533333333333333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(12.5+7.82)*1.3</f>
        <v>26.416</v>
      </c>
      <c r="F17" s="8">
        <f>E17/(C17/30)</f>
        <v>13.546666666666667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23" priority="3" operator="lessThan">
      <formula>7</formula>
    </cfRule>
  </conditionalFormatting>
  <conditionalFormatting sqref="F14:F15">
    <cfRule type="cellIs" dxfId="22" priority="2" operator="lessThan">
      <formula>7</formula>
    </cfRule>
  </conditionalFormatting>
  <conditionalFormatting sqref="F14:F17">
    <cfRule type="cellIs" dxfId="21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342E-B915-4E27-AE27-05F052938995}">
  <dimension ref="A1:G25"/>
  <sheetViews>
    <sheetView zoomScale="80" zoomScaleNormal="80" workbookViewId="0">
      <selection activeCell="E14" sqref="E14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v>35</v>
      </c>
      <c r="F3" s="46">
        <f>E3/B3</f>
        <v>29.914529914529915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(374+344+352+63+147+169)*25/1000</f>
        <v>36.225000000000001</v>
      </c>
      <c r="F5" s="46">
        <f>E5/(C5/30)</f>
        <v>72.45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(12+13+10+7+8)*25/1000</f>
        <v>1.25</v>
      </c>
      <c r="F14" s="8">
        <f t="shared" ref="F14:F15" si="0">E14/(C14/30)</f>
        <v>0.37537537537537535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(22+6+10+21)*30/1000</f>
        <v>1.77</v>
      </c>
      <c r="F15" s="8">
        <f>E15/(C15/30)</f>
        <v>0.84285714285714286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13.27+7.03</f>
        <v>20.3</v>
      </c>
      <c r="F16" s="8">
        <f>E16/(C16/30)</f>
        <v>13.533333333333333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(12.5+7.82)*1.3</f>
        <v>26.416</v>
      </c>
      <c r="F17" s="8">
        <f>E17/(C17/30)</f>
        <v>13.546666666666667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20" priority="3" operator="lessThan">
      <formula>7</formula>
    </cfRule>
  </conditionalFormatting>
  <conditionalFormatting sqref="F14:F15">
    <cfRule type="cellIs" dxfId="19" priority="2" operator="lessThan">
      <formula>7</formula>
    </cfRule>
  </conditionalFormatting>
  <conditionalFormatting sqref="F14:F17">
    <cfRule type="cellIs" dxfId="18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4F12-B5A4-45BC-A3EA-393B5E492876}">
  <dimension ref="A1:G25"/>
  <sheetViews>
    <sheetView zoomScale="80" zoomScaleNormal="80" workbookViewId="0">
      <selection activeCell="J11" sqref="J11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v>35</v>
      </c>
      <c r="F3" s="46">
        <f>E3/B3</f>
        <v>29.914529914529915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(374+344+352+63+147+169)*25/1000</f>
        <v>36.225000000000001</v>
      </c>
      <c r="F5" s="46">
        <f>E5/(C5/30)</f>
        <v>72.45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5</v>
      </c>
      <c r="F7" s="46">
        <f>E7/(C7/30)</f>
        <v>10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(11+12+20+17+8+10+10)*25/1000</f>
        <v>2.2000000000000002</v>
      </c>
      <c r="F14" s="8">
        <f t="shared" ref="F14:F15" si="0">E14/(C14/30)</f>
        <v>0.66066066066066065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(42+22+6+10+21)*30/1000</f>
        <v>3.03</v>
      </c>
      <c r="F15" s="8">
        <f>E15/(C15/30)</f>
        <v>1.4428571428571426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13.27+5.5</f>
        <v>18.77</v>
      </c>
      <c r="F16" s="8">
        <f>E16/(C16/30)</f>
        <v>12.513333333333334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(12.5+6.3)*1.3</f>
        <v>24.44</v>
      </c>
      <c r="F17" s="8">
        <f>E17/(C17/30)</f>
        <v>12.533333333333335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17" priority="3" operator="lessThan">
      <formula>7</formula>
    </cfRule>
  </conditionalFormatting>
  <conditionalFormatting sqref="F14:F15">
    <cfRule type="cellIs" dxfId="16" priority="2" operator="lessThan">
      <formula>7</formula>
    </cfRule>
  </conditionalFormatting>
  <conditionalFormatting sqref="F14:F17">
    <cfRule type="cellIs" dxfId="15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59A7-09FC-42A0-8F9A-45CBC98F62D0}">
  <dimension ref="A1:G25"/>
  <sheetViews>
    <sheetView zoomScale="80" zoomScaleNormal="80" workbookViewId="0">
      <selection activeCell="G13" sqref="G13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(400+200+246+296+150+150+250)*20/1000</f>
        <v>33.840000000000003</v>
      </c>
      <c r="F3" s="46">
        <f>E3/B3</f>
        <v>28.923076923076927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(374+344+352+63+147+169)*25/1000</f>
        <v>36.225000000000001</v>
      </c>
      <c r="F5" s="46">
        <f>E5/(C5/30)</f>
        <v>72.45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7</v>
      </c>
      <c r="F7" s="46">
        <f>E7/(C7/30)</f>
        <v>14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(11+12+20+17+8+10+10)*25/1000</f>
        <v>2.2000000000000002</v>
      </c>
      <c r="F14" s="8">
        <f t="shared" ref="F14:F15" si="0">E14/(C14/30)</f>
        <v>0.66066066066066065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(42+22+6+10+21)*30/1000</f>
        <v>3.03</v>
      </c>
      <c r="F15" s="8">
        <f>E15/(C15/30)</f>
        <v>1.4428571428571426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13.26+2.6</f>
        <v>15.86</v>
      </c>
      <c r="F16" s="8">
        <f>E16/(C16/30)</f>
        <v>10.573333333333332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(12.5+3.9)*1.3</f>
        <v>21.32</v>
      </c>
      <c r="F17" s="8">
        <f>E17/(C17/30)</f>
        <v>10.933333333333334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14" priority="3" operator="lessThan">
      <formula>7</formula>
    </cfRule>
  </conditionalFormatting>
  <conditionalFormatting sqref="F14:F15">
    <cfRule type="cellIs" dxfId="13" priority="2" operator="lessThan">
      <formula>7</formula>
    </cfRule>
  </conditionalFormatting>
  <conditionalFormatting sqref="F14:F17">
    <cfRule type="cellIs" dxfId="12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CBA0-E229-40C0-A304-00ABFC91D7A4}">
  <dimension ref="A1:G25"/>
  <sheetViews>
    <sheetView zoomScale="80" zoomScaleNormal="80" workbookViewId="0">
      <selection activeCell="E15" sqref="E15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(395+200+215+217+128+134+219)*20/1000</f>
        <v>30.16</v>
      </c>
      <c r="F3" s="46">
        <f>E3/B3</f>
        <v>25.777777777777779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(253+0+303+311+115+0+138)*25/1000</f>
        <v>28</v>
      </c>
      <c r="F5" s="46">
        <f>E5/(C5/30)</f>
        <v>56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7</v>
      </c>
      <c r="F7" s="46">
        <f>E7/(C7/30)</f>
        <v>14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10+4+11+9+2+5</f>
        <v>41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(11+12+20+17+7+10+9)*25/1000</f>
        <v>2.15</v>
      </c>
      <c r="F14" s="8">
        <f t="shared" ref="F14:F15" si="0">E14/(C14/30)</f>
        <v>0.64564564564564564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(42+22+6+10+21)*30/1000</f>
        <v>3.03</v>
      </c>
      <c r="F15" s="8">
        <f>E15/(C15/30)</f>
        <v>1.4428571428571426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13.26+2.6</f>
        <v>15.86</v>
      </c>
      <c r="F16" s="8">
        <f>E16/(C16/30)</f>
        <v>10.573333333333332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(12.5+3.9)*1.3</f>
        <v>21.32</v>
      </c>
      <c r="F17" s="8">
        <f>E17/(C17/30)</f>
        <v>10.933333333333334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11" priority="3" operator="lessThan">
      <formula>7</formula>
    </cfRule>
  </conditionalFormatting>
  <conditionalFormatting sqref="F14:F15">
    <cfRule type="cellIs" dxfId="10" priority="2" operator="lessThan">
      <formula>7</formula>
    </cfRule>
  </conditionalFormatting>
  <conditionalFormatting sqref="F14:F17">
    <cfRule type="cellIs" dxfId="9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FD86-280B-4CFC-946C-B3541ABE9725}">
  <dimension ref="A1:G25"/>
  <sheetViews>
    <sheetView zoomScale="80" zoomScaleNormal="80" workbookViewId="0">
      <selection activeCell="E12" sqref="E12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(395+200+211+213+120+128+214)*20/1000</f>
        <v>29.62</v>
      </c>
      <c r="F3" s="46">
        <f>E3/B3</f>
        <v>25.316239316239319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(342+0+288+296+113+126)*25/1000</f>
        <v>29.125</v>
      </c>
      <c r="F5" s="46">
        <f>E5/(C5/30)</f>
        <v>58.25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7</v>
      </c>
      <c r="F7" s="46">
        <f>E7/(C7/30)</f>
        <v>14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30</v>
      </c>
      <c r="F9" s="40">
        <f>E9/(C9/30)</f>
        <v>75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10+4+10+9+2+5</f>
        <v>40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(11+12+20+17+8+10+9)*25/1000</f>
        <v>2.1749999999999998</v>
      </c>
      <c r="F14" s="8">
        <f t="shared" ref="F14:F15" si="0">E14/(C14/30)</f>
        <v>0.65315315315315303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(42+22+6+10+21)*30/1000</f>
        <v>3.03</v>
      </c>
      <c r="F15" s="8">
        <f>E15/(C15/30)</f>
        <v>1.4428571428571426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13.26+2.6</f>
        <v>15.86</v>
      </c>
      <c r="F16" s="8">
        <f>E16/(C16/30)</f>
        <v>10.573333333333332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(12.5+3.9)*1.3</f>
        <v>21.32</v>
      </c>
      <c r="F17" s="8">
        <f>E17/(C17/30)</f>
        <v>10.933333333333334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8" priority="3" operator="lessThan">
      <formula>7</formula>
    </cfRule>
  </conditionalFormatting>
  <conditionalFormatting sqref="F14:F15">
    <cfRule type="cellIs" dxfId="7" priority="2" operator="lessThan">
      <formula>7</formula>
    </cfRule>
  </conditionalFormatting>
  <conditionalFormatting sqref="F14:F17">
    <cfRule type="cellIs" dxfId="6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23C6-1DAA-48D6-983B-37B3D23BD244}">
  <dimension ref="A1:G25"/>
  <sheetViews>
    <sheetView zoomScale="80" zoomScaleNormal="80" workbookViewId="0">
      <selection activeCell="L17" sqref="L17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(395+200+211+213+120+128+214)*20/1000</f>
        <v>29.62</v>
      </c>
      <c r="F3" s="46">
        <f>E3/B3</f>
        <v>25.316239316239319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(334+278+286+105+119)*25/1000</f>
        <v>28.05</v>
      </c>
      <c r="F5" s="46">
        <f>E5/(C5/30)</f>
        <v>56.1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0</v>
      </c>
      <c r="F7" s="46">
        <f>E7/(C7/30)</f>
        <v>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15</v>
      </c>
      <c r="F9" s="40">
        <f>E9/(C9/30)</f>
        <v>37.5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10+4+10+9+2+5</f>
        <v>40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(11+12+20+17+8+10+9)*25/1000</f>
        <v>2.1749999999999998</v>
      </c>
      <c r="F14" s="8">
        <f t="shared" ref="F14:F15" si="0">E14/(C14/30)</f>
        <v>0.65315315315315303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(42+22+6+10+21)*30/1000</f>
        <v>3.03</v>
      </c>
      <c r="F15" s="8">
        <f>E15/(C15/30)</f>
        <v>1.4428571428571426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12.43</f>
        <v>12.43</v>
      </c>
      <c r="F16" s="8">
        <f>E16/(C16/30)</f>
        <v>8.2866666666666671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(12.43)*1.3</f>
        <v>16.158999999999999</v>
      </c>
      <c r="F17" s="8">
        <f>E17/(C17/30)</f>
        <v>8.2866666666666671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conditionalFormatting sqref="F3:F10">
    <cfRule type="cellIs" dxfId="5" priority="3" operator="lessThan">
      <formula>7</formula>
    </cfRule>
  </conditionalFormatting>
  <conditionalFormatting sqref="F14:F15">
    <cfRule type="cellIs" dxfId="4" priority="2" operator="lessThan">
      <formula>7</formula>
    </cfRule>
  </conditionalFormatting>
  <conditionalFormatting sqref="F14:F17">
    <cfRule type="cellIs" dxfId="3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F367-9050-40E7-8E02-D88EDA0B02F2}">
  <dimension ref="A1:G25"/>
  <sheetViews>
    <sheetView zoomScale="80" zoomScaleNormal="80" workbookViewId="0">
      <selection activeCell="J12" sqref="J12"/>
    </sheetView>
  </sheetViews>
  <sheetFormatPr defaultRowHeight="15" customHeight="1"/>
  <cols>
    <col min="1" max="1" width="22.5703125" customWidth="1"/>
    <col min="2" max="2" width="15.42578125" style="9" customWidth="1"/>
    <col min="3" max="3" width="15.28515625" customWidth="1"/>
    <col min="4" max="4" width="17.7109375" customWidth="1"/>
    <col min="5" max="5" width="16.7109375" customWidth="1"/>
    <col min="6" max="6" width="14.5703125" customWidth="1"/>
    <col min="7" max="7" width="28.28515625" customWidth="1"/>
  </cols>
  <sheetData>
    <row r="1" spans="1:7" ht="18.75">
      <c r="A1" s="1" t="s">
        <v>0</v>
      </c>
      <c r="B1" s="2"/>
      <c r="C1" s="2"/>
      <c r="D1" s="2"/>
      <c r="E1" s="2"/>
      <c r="F1" s="2"/>
      <c r="G1" s="2"/>
    </row>
    <row r="2" spans="1:7" ht="44.2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</row>
    <row r="3" spans="1:7">
      <c r="A3" s="31" t="s">
        <v>8</v>
      </c>
      <c r="B3" s="33">
        <v>1.17</v>
      </c>
      <c r="C3" s="35">
        <f>B3*30</f>
        <v>35.099999999999994</v>
      </c>
      <c r="D3" s="35">
        <f>C3*3</f>
        <v>105.29999999999998</v>
      </c>
      <c r="E3" s="40">
        <f>(395+200+168+196+111+41+163)*20/1000</f>
        <v>25.48</v>
      </c>
      <c r="F3" s="46">
        <f>E3/B3</f>
        <v>21.777777777777779</v>
      </c>
      <c r="G3" s="47" t="s">
        <v>22</v>
      </c>
    </row>
    <row r="4" spans="1:7">
      <c r="A4" s="51"/>
      <c r="B4" s="43"/>
      <c r="C4" s="52"/>
      <c r="D4" s="52"/>
      <c r="E4" s="49"/>
      <c r="F4" s="53"/>
      <c r="G4" s="29"/>
    </row>
    <row r="5" spans="1:7">
      <c r="A5" s="31" t="s">
        <v>10</v>
      </c>
      <c r="B5" s="33">
        <f>C5/30</f>
        <v>0.5</v>
      </c>
      <c r="C5" s="35">
        <v>15</v>
      </c>
      <c r="D5" s="35">
        <f>C5*3</f>
        <v>45</v>
      </c>
      <c r="E5" s="40">
        <f>(299+141+189+130+87)*25/1000</f>
        <v>21.15</v>
      </c>
      <c r="F5" s="46">
        <f>E5/(C5/30)</f>
        <v>42.3</v>
      </c>
      <c r="G5" s="29" t="s">
        <v>11</v>
      </c>
    </row>
    <row r="6" spans="1:7">
      <c r="A6" s="48"/>
      <c r="B6" s="43"/>
      <c r="C6" s="44"/>
      <c r="D6" s="44"/>
      <c r="E6" s="49"/>
      <c r="F6" s="50"/>
      <c r="G6" s="30"/>
    </row>
    <row r="7" spans="1:7">
      <c r="A7" s="31" t="s">
        <v>12</v>
      </c>
      <c r="B7" s="33">
        <f>C7/30</f>
        <v>0.5</v>
      </c>
      <c r="C7" s="35">
        <v>15</v>
      </c>
      <c r="D7" s="35">
        <f>C7*3</f>
        <v>45</v>
      </c>
      <c r="E7" s="38">
        <v>5</v>
      </c>
      <c r="F7" s="46">
        <f>E7/(C7/30)</f>
        <v>10</v>
      </c>
      <c r="G7" s="29" t="s">
        <v>13</v>
      </c>
    </row>
    <row r="8" spans="1:7">
      <c r="A8" s="51"/>
      <c r="B8" s="43"/>
      <c r="C8" s="52"/>
      <c r="D8" s="44"/>
      <c r="E8" s="45"/>
      <c r="F8" s="53"/>
      <c r="G8" s="30"/>
    </row>
    <row r="9" spans="1:7">
      <c r="A9" s="31" t="s">
        <v>14</v>
      </c>
      <c r="B9" s="33">
        <f>C9/30</f>
        <v>0.4</v>
      </c>
      <c r="C9" s="35">
        <v>12</v>
      </c>
      <c r="D9" s="35">
        <f>C9*3</f>
        <v>36</v>
      </c>
      <c r="E9" s="38">
        <v>7</v>
      </c>
      <c r="F9" s="40">
        <f>E9/(C9/30)</f>
        <v>17.5</v>
      </c>
      <c r="G9" s="29" t="s">
        <v>11</v>
      </c>
    </row>
    <row r="10" spans="1:7">
      <c r="A10" s="32"/>
      <c r="B10" s="34"/>
      <c r="C10" s="36"/>
      <c r="D10" s="37"/>
      <c r="E10" s="39"/>
      <c r="F10" s="41"/>
      <c r="G10" s="42"/>
    </row>
    <row r="11" spans="1:7" ht="24.75" customHeight="1">
      <c r="A11" t="s">
        <v>15</v>
      </c>
      <c r="E11">
        <f>10+4+10+9+2+5</f>
        <v>40</v>
      </c>
    </row>
    <row r="12" spans="1:7"/>
    <row r="13" spans="1:7" ht="45.75" customHeight="1">
      <c r="A13" s="10" t="s">
        <v>16</v>
      </c>
      <c r="B13" s="4" t="s">
        <v>2</v>
      </c>
      <c r="C13" s="5" t="s">
        <v>3</v>
      </c>
      <c r="D13" s="5" t="s">
        <v>4</v>
      </c>
      <c r="E13" s="6" t="s">
        <v>5</v>
      </c>
      <c r="F13" s="6" t="s">
        <v>6</v>
      </c>
      <c r="G13" s="7" t="s">
        <v>7</v>
      </c>
    </row>
    <row r="14" spans="1:7">
      <c r="A14" s="11" t="s">
        <v>17</v>
      </c>
      <c r="B14" s="12">
        <v>3.33</v>
      </c>
      <c r="C14" s="13">
        <f>B14*30</f>
        <v>99.9</v>
      </c>
      <c r="D14" s="13">
        <f>C14*3</f>
        <v>299.70000000000005</v>
      </c>
      <c r="E14" s="14">
        <f>(10+14+13+4+8+10+8)*25/1000</f>
        <v>1.675</v>
      </c>
      <c r="F14" s="8">
        <f t="shared" ref="F14:F15" si="0">E14/(C14/30)</f>
        <v>0.50300300300300305</v>
      </c>
      <c r="G14" s="8" t="s">
        <v>9</v>
      </c>
    </row>
    <row r="15" spans="1:7">
      <c r="A15" s="15" t="s">
        <v>18</v>
      </c>
      <c r="B15" s="16">
        <v>2.1</v>
      </c>
      <c r="C15" s="15">
        <f>B15*30</f>
        <v>63</v>
      </c>
      <c r="D15" s="15">
        <f>C15*3</f>
        <v>189</v>
      </c>
      <c r="E15" s="17">
        <f>(44+22+6+10+21)*30/1000</f>
        <v>3.09</v>
      </c>
      <c r="F15" s="8">
        <f>E15/(C15/30)</f>
        <v>1.4714285714285713</v>
      </c>
      <c r="G15" s="18" t="s">
        <v>9</v>
      </c>
    </row>
    <row r="16" spans="1:7">
      <c r="A16" s="19" t="s">
        <v>19</v>
      </c>
      <c r="B16" s="20">
        <v>1.5</v>
      </c>
      <c r="C16" s="21">
        <f>1.5*30</f>
        <v>45</v>
      </c>
      <c r="D16" s="15">
        <f>C16*3</f>
        <v>135</v>
      </c>
      <c r="E16" s="22">
        <f>7.37</f>
        <v>7.37</v>
      </c>
      <c r="F16" s="8">
        <f>E16/(C16/30)</f>
        <v>4.9133333333333331</v>
      </c>
      <c r="G16" s="23" t="s">
        <v>11</v>
      </c>
    </row>
    <row r="17" spans="1:7">
      <c r="A17" s="24" t="s">
        <v>20</v>
      </c>
      <c r="B17" s="25">
        <v>1.95</v>
      </c>
      <c r="C17" s="26">
        <f>1.95*30</f>
        <v>58.5</v>
      </c>
      <c r="D17" s="27">
        <f>C17*3</f>
        <v>175.5</v>
      </c>
      <c r="E17" s="22">
        <f>(9.52)*1.3</f>
        <v>12.375999999999999</v>
      </c>
      <c r="F17" s="8">
        <f>E17/(C17/30)</f>
        <v>6.3466666666666667</v>
      </c>
      <c r="G17" s="28" t="s">
        <v>23</v>
      </c>
    </row>
    <row r="18" spans="1:7"/>
    <row r="19" spans="1:7"/>
    <row r="20" spans="1:7"/>
    <row r="21" spans="1:7"/>
    <row r="22" spans="1:7"/>
    <row r="23" spans="1:7"/>
    <row r="24" spans="1:7"/>
    <row r="25" spans="1:7"/>
  </sheetData>
  <mergeCells count="28"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  <mergeCell ref="G3:G4"/>
    <mergeCell ref="A5:A6"/>
    <mergeCell ref="B5:B6"/>
    <mergeCell ref="C5:C6"/>
    <mergeCell ref="D5:D6"/>
    <mergeCell ref="E5:E6"/>
    <mergeCell ref="F5:F6"/>
    <mergeCell ref="G5:G6"/>
    <mergeCell ref="A3:A4"/>
    <mergeCell ref="B3:B4"/>
    <mergeCell ref="C3:C4"/>
    <mergeCell ref="D3:D4"/>
    <mergeCell ref="E3:E4"/>
    <mergeCell ref="F3:F4"/>
  </mergeCells>
  <conditionalFormatting sqref="F3:F10">
    <cfRule type="cellIs" dxfId="2" priority="3" operator="lessThan">
      <formula>7</formula>
    </cfRule>
  </conditionalFormatting>
  <conditionalFormatting sqref="F14:F15">
    <cfRule type="cellIs" dxfId="1" priority="2" operator="lessThan">
      <formula>7</formula>
    </cfRule>
  </conditionalFormatting>
  <conditionalFormatting sqref="F14:F17">
    <cfRule type="cellIs" dxfId="0" priority="1" operator="lessThan">
      <formula>7</formula>
    </cfRule>
  </conditionalFormatting>
  <pageMargins left="0.7" right="0.7" top="0.75" bottom="0.75" header="0.3" footer="0.3"/>
  <pageSetup orientation="portrait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7EE3-88E3-45FE-A9BC-2368B920CAF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Devashish Kumar</cp:lastModifiedBy>
  <cp:revision/>
  <dcterms:created xsi:type="dcterms:W3CDTF">2026-06-24T06:21:44Z</dcterms:created>
  <dcterms:modified xsi:type="dcterms:W3CDTF">2026-07-17T03:43:37Z</dcterms:modified>
  <cp:category/>
  <cp:contentStatus/>
</cp:coreProperties>
</file>