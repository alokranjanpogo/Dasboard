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ml.chartshapes+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9.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hidePivotFieldList="1"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A8D8058F-9B04-4898-BE18-86DBF98FA973}" xr6:coauthVersionLast="47" xr6:coauthVersionMax="47" xr10:uidLastSave="{00000000-0000-0000-0000-000000000000}"/>
  <bookViews>
    <workbookView xWindow="-108" yWindow="-108" windowWidth="23256" windowHeight="12576" xr2:uid="{C5B60421-0079-4164-9521-3E5C243DF326}"/>
  </bookViews>
  <sheets>
    <sheet name="Dashb" sheetId="20" r:id="rId1"/>
    <sheet name="Sheet4" sheetId="21" r:id="rId2"/>
    <sheet name="Sheet3" sheetId="23" r:id="rId3"/>
    <sheet name="Sheet2" sheetId="25" r:id="rId4"/>
    <sheet name="Sheet5" sheetId="26" r:id="rId5"/>
    <sheet name="Sheet6" sheetId="27" r:id="rId6"/>
    <sheet name="Sheet8" sheetId="29" r:id="rId7"/>
    <sheet name="Sheet7" sheetId="28" r:id="rId8"/>
    <sheet name="Sheet1" sheetId="1" r:id="rId9"/>
  </sheets>
  <definedNames>
    <definedName name="Slicer_Chemicals">#N/A</definedName>
    <definedName name="Slicer_Date">#N/A</definedName>
    <definedName name="Slicer_L_Alum_Litre_2">#N/A</definedName>
    <definedName name="Slicer_Months__Date">#N/A</definedName>
    <definedName name="Slicer_S_Alum__Kg">#N/A</definedName>
    <definedName name="Slicer_S_Alum__Kg_2">#N/A</definedName>
  </definedNames>
  <calcPr calcId="191029"/>
  <pivotCaches>
    <pivotCache cacheId="1" r:id="rId10"/>
    <pivotCache cacheId="5"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621" i="1" l="1"/>
  <c r="Q618" i="1" s="1"/>
  <c r="Q615" i="1" s="1"/>
  <c r="Q612" i="1" s="1"/>
  <c r="Q609" i="1" s="1"/>
  <c r="Q606" i="1" s="1"/>
  <c r="Q603" i="1" s="1"/>
  <c r="Q600" i="1" s="1"/>
  <c r="Q597" i="1" s="1"/>
  <c r="Q594" i="1" s="1"/>
  <c r="Q591" i="1" s="1"/>
  <c r="Q588" i="1" s="1"/>
  <c r="Q585" i="1" s="1"/>
  <c r="Q582" i="1" s="1"/>
  <c r="Q579" i="1" s="1"/>
  <c r="Q576" i="1" s="1"/>
  <c r="Q573" i="1" s="1"/>
  <c r="Q570" i="1" s="1"/>
  <c r="Q567" i="1" s="1"/>
  <c r="Q564" i="1" s="1"/>
  <c r="Q561" i="1" s="1"/>
  <c r="Q558" i="1" s="1"/>
  <c r="Q555" i="1" s="1"/>
  <c r="Q552" i="1" s="1"/>
  <c r="Q549" i="1" s="1"/>
  <c r="Q546" i="1" s="1"/>
  <c r="Q543" i="1" s="1"/>
  <c r="Q540" i="1" s="1"/>
  <c r="Q537" i="1" s="1"/>
  <c r="Q534" i="1" s="1"/>
  <c r="Q531" i="1" s="1"/>
  <c r="Q528" i="1" s="1"/>
  <c r="Q525" i="1" s="1"/>
  <c r="Q522" i="1" s="1"/>
  <c r="Q519" i="1" s="1"/>
  <c r="Q516" i="1" s="1"/>
  <c r="Q513" i="1" s="1"/>
  <c r="Q510" i="1" s="1"/>
  <c r="Q507" i="1" s="1"/>
  <c r="Q504" i="1" s="1"/>
  <c r="Q501" i="1" s="1"/>
  <c r="Q498" i="1" s="1"/>
  <c r="Q495" i="1" s="1"/>
  <c r="Q492" i="1" s="1"/>
  <c r="Q489" i="1" s="1"/>
  <c r="Q486" i="1" s="1"/>
  <c r="Q483" i="1" s="1"/>
  <c r="Q480" i="1" s="1"/>
  <c r="Q477" i="1" s="1"/>
  <c r="Q474" i="1" s="1"/>
  <c r="Q471" i="1" s="1"/>
  <c r="Q468" i="1" s="1"/>
  <c r="Q465" i="1" s="1"/>
  <c r="Q462" i="1" s="1"/>
  <c r="Q459" i="1" s="1"/>
  <c r="Q456" i="1" s="1"/>
  <c r="Q453" i="1" s="1"/>
  <c r="Q450" i="1" s="1"/>
  <c r="Q447" i="1" s="1"/>
  <c r="Q444" i="1" s="1"/>
  <c r="Q441" i="1" s="1"/>
  <c r="Q438" i="1" s="1"/>
  <c r="Q435" i="1" s="1"/>
  <c r="Q432" i="1" s="1"/>
  <c r="Q429" i="1" s="1"/>
  <c r="Q426" i="1" s="1"/>
  <c r="Q423" i="1" s="1"/>
  <c r="Q420" i="1" s="1"/>
  <c r="Q417" i="1" s="1"/>
  <c r="Q414" i="1" s="1"/>
  <c r="Q411" i="1" s="1"/>
  <c r="Q408" i="1" s="1"/>
  <c r="Q405" i="1" s="1"/>
  <c r="Q402" i="1" s="1"/>
  <c r="Q399" i="1" s="1"/>
  <c r="Q396" i="1" s="1"/>
  <c r="Q393" i="1" s="1"/>
  <c r="Q390" i="1" s="1"/>
  <c r="Q387" i="1" s="1"/>
  <c r="Q384" i="1" s="1"/>
  <c r="Q381" i="1" s="1"/>
  <c r="Q378" i="1" s="1"/>
  <c r="Q375" i="1" s="1"/>
  <c r="Q372" i="1" s="1"/>
  <c r="Q369" i="1" s="1"/>
  <c r="Q366" i="1" s="1"/>
  <c r="Q363" i="1" s="1"/>
  <c r="Q360" i="1" s="1"/>
  <c r="Q357" i="1" s="1"/>
  <c r="Q354" i="1" s="1"/>
  <c r="Q351" i="1" s="1"/>
  <c r="Q348" i="1" s="1"/>
  <c r="Q345" i="1" s="1"/>
  <c r="Q342" i="1" s="1"/>
  <c r="Q339" i="1" s="1"/>
  <c r="Q336" i="1" s="1"/>
  <c r="Q333" i="1" s="1"/>
  <c r="Q330" i="1" s="1"/>
  <c r="Q327" i="1" s="1"/>
  <c r="Q324" i="1" s="1"/>
  <c r="Q321" i="1" s="1"/>
  <c r="Q318" i="1" s="1"/>
  <c r="Q315" i="1" s="1"/>
  <c r="Q312" i="1" s="1"/>
  <c r="Q309" i="1" s="1"/>
  <c r="Q306" i="1" s="1"/>
  <c r="Q303" i="1" s="1"/>
  <c r="Q300" i="1" s="1"/>
  <c r="Q297" i="1" s="1"/>
  <c r="Q294" i="1" s="1"/>
  <c r="Q291" i="1" s="1"/>
  <c r="Q288" i="1" s="1"/>
  <c r="Q285" i="1" s="1"/>
  <c r="Q282" i="1" s="1"/>
  <c r="Q279" i="1" s="1"/>
  <c r="Q276" i="1" s="1"/>
  <c r="Q273" i="1" s="1"/>
  <c r="Q270" i="1" s="1"/>
  <c r="Q267" i="1" s="1"/>
  <c r="Q264" i="1" s="1"/>
  <c r="Q261" i="1" s="1"/>
  <c r="Q258" i="1" s="1"/>
  <c r="Q255" i="1" s="1"/>
  <c r="Q252" i="1" s="1"/>
  <c r="Q249" i="1" s="1"/>
  <c r="Q246" i="1" s="1"/>
  <c r="Q243" i="1" s="1"/>
  <c r="Q240" i="1" s="1"/>
  <c r="Q237" i="1" s="1"/>
  <c r="Q234" i="1" s="1"/>
  <c r="Q231" i="1" s="1"/>
  <c r="Q228" i="1" s="1"/>
  <c r="Q225" i="1" s="1"/>
  <c r="Q222" i="1" s="1"/>
  <c r="Q219" i="1" s="1"/>
  <c r="Q216" i="1" s="1"/>
  <c r="Q213" i="1" s="1"/>
  <c r="Q210" i="1" s="1"/>
  <c r="Q207" i="1" s="1"/>
  <c r="Q204" i="1" s="1"/>
  <c r="Q201" i="1" s="1"/>
  <c r="Q198" i="1" s="1"/>
  <c r="Q195" i="1" s="1"/>
  <c r="Q192" i="1" s="1"/>
  <c r="Q189" i="1" s="1"/>
  <c r="Q186" i="1" s="1"/>
  <c r="Q183" i="1" s="1"/>
  <c r="Q180" i="1" s="1"/>
  <c r="Q177" i="1" s="1"/>
  <c r="Q174" i="1" s="1"/>
  <c r="Q171" i="1" s="1"/>
  <c r="Q168" i="1" s="1"/>
  <c r="Q165" i="1" s="1"/>
  <c r="Q162" i="1" s="1"/>
  <c r="Q159" i="1" s="1"/>
  <c r="Q156" i="1" s="1"/>
  <c r="Q153" i="1" s="1"/>
  <c r="Q150" i="1" s="1"/>
  <c r="Q147" i="1" s="1"/>
  <c r="Q144" i="1" s="1"/>
  <c r="Q141" i="1" s="1"/>
  <c r="Q138" i="1" s="1"/>
  <c r="Q135" i="1" s="1"/>
  <c r="Q132" i="1" s="1"/>
  <c r="Q129" i="1" s="1"/>
  <c r="Q126" i="1" s="1"/>
  <c r="Q123" i="1" s="1"/>
  <c r="Q120" i="1" s="1"/>
  <c r="Q117" i="1" s="1"/>
  <c r="Q114" i="1" s="1"/>
  <c r="Q111" i="1" s="1"/>
  <c r="Q108" i="1" s="1"/>
  <c r="Q105" i="1" s="1"/>
  <c r="Q102" i="1" s="1"/>
  <c r="Q99" i="1" s="1"/>
  <c r="Q96" i="1" s="1"/>
  <c r="Q93" i="1" s="1"/>
  <c r="Q90" i="1" s="1"/>
  <c r="Q87" i="1" s="1"/>
  <c r="Q84" i="1" s="1"/>
  <c r="Q81" i="1" s="1"/>
  <c r="Q78" i="1" s="1"/>
  <c r="Q75" i="1" s="1"/>
  <c r="Q72" i="1" s="1"/>
  <c r="Q69" i="1" s="1"/>
  <c r="Q66" i="1" s="1"/>
  <c r="Q63" i="1" s="1"/>
  <c r="Q60" i="1" s="1"/>
  <c r="Q57" i="1" s="1"/>
  <c r="Q54" i="1" s="1"/>
  <c r="Q51" i="1" s="1"/>
  <c r="Q48" i="1" s="1"/>
  <c r="Q45" i="1" s="1"/>
  <c r="Q42" i="1" s="1"/>
  <c r="Q39" i="1" s="1"/>
  <c r="Q36" i="1" s="1"/>
  <c r="Q33" i="1" s="1"/>
  <c r="Q30" i="1" s="1"/>
  <c r="Q27" i="1" s="1"/>
  <c r="Q24" i="1" s="1"/>
  <c r="Q21" i="1" s="1"/>
  <c r="Q18" i="1" s="1"/>
  <c r="Q15" i="1" s="1"/>
  <c r="Q12" i="1" s="1"/>
  <c r="Q9" i="1" s="1"/>
  <c r="Q6" i="1" s="1"/>
  <c r="O621" i="1"/>
  <c r="O618" i="1" s="1"/>
  <c r="O615" i="1" s="1"/>
  <c r="O612" i="1" s="1"/>
  <c r="O609" i="1" s="1"/>
  <c r="O606" i="1" s="1"/>
  <c r="O603" i="1" s="1"/>
  <c r="O600" i="1" s="1"/>
  <c r="O597" i="1" s="1"/>
  <c r="O594" i="1" s="1"/>
  <c r="O591" i="1" s="1"/>
  <c r="O588" i="1" s="1"/>
  <c r="O585" i="1" s="1"/>
  <c r="O582" i="1" s="1"/>
  <c r="O579" i="1" s="1"/>
  <c r="O576" i="1" s="1"/>
  <c r="O573" i="1" s="1"/>
  <c r="O570" i="1" s="1"/>
  <c r="O567" i="1" s="1"/>
  <c r="O564" i="1" s="1"/>
  <c r="O561" i="1" s="1"/>
  <c r="O558" i="1" s="1"/>
  <c r="O555" i="1" s="1"/>
  <c r="O552" i="1" s="1"/>
  <c r="O549" i="1" s="1"/>
  <c r="O546" i="1" s="1"/>
  <c r="O543" i="1" s="1"/>
  <c r="O540" i="1" s="1"/>
  <c r="O537" i="1" s="1"/>
  <c r="O534" i="1" s="1"/>
  <c r="O531" i="1" s="1"/>
  <c r="O528" i="1" s="1"/>
  <c r="O525" i="1" s="1"/>
  <c r="O522" i="1" s="1"/>
  <c r="O519" i="1" s="1"/>
  <c r="O516" i="1" s="1"/>
  <c r="O513" i="1" s="1"/>
  <c r="O510" i="1" s="1"/>
  <c r="O507" i="1" s="1"/>
  <c r="O504" i="1" s="1"/>
  <c r="O501" i="1" s="1"/>
  <c r="O498" i="1" s="1"/>
  <c r="O495" i="1" s="1"/>
  <c r="O492" i="1" s="1"/>
  <c r="O489" i="1" s="1"/>
  <c r="O486" i="1" s="1"/>
  <c r="O483" i="1" s="1"/>
  <c r="O480" i="1" s="1"/>
  <c r="O477" i="1" s="1"/>
  <c r="O474" i="1" s="1"/>
  <c r="O471" i="1" s="1"/>
  <c r="O468" i="1" s="1"/>
  <c r="O465" i="1" s="1"/>
  <c r="O462" i="1" s="1"/>
  <c r="O459" i="1" s="1"/>
  <c r="O456" i="1" s="1"/>
  <c r="O453" i="1" s="1"/>
  <c r="O450" i="1" s="1"/>
  <c r="O447" i="1" s="1"/>
  <c r="O444" i="1" s="1"/>
  <c r="O441" i="1" s="1"/>
  <c r="O438" i="1" s="1"/>
  <c r="O435" i="1" s="1"/>
  <c r="O432" i="1" s="1"/>
  <c r="O429" i="1" s="1"/>
  <c r="O426" i="1" s="1"/>
  <c r="O423" i="1" s="1"/>
  <c r="O420" i="1" s="1"/>
  <c r="O417" i="1" s="1"/>
  <c r="O414" i="1" s="1"/>
  <c r="O411" i="1" s="1"/>
  <c r="O408" i="1" s="1"/>
  <c r="O405" i="1" s="1"/>
  <c r="O402" i="1" s="1"/>
  <c r="O399" i="1" s="1"/>
  <c r="O396" i="1" s="1"/>
  <c r="O393" i="1" s="1"/>
  <c r="O390" i="1" s="1"/>
  <c r="O387" i="1" s="1"/>
  <c r="O384" i="1" s="1"/>
  <c r="O381" i="1" s="1"/>
  <c r="O378" i="1" s="1"/>
  <c r="O375" i="1" s="1"/>
  <c r="O372" i="1" s="1"/>
  <c r="O369" i="1" s="1"/>
  <c r="O366" i="1" s="1"/>
  <c r="O363" i="1" s="1"/>
  <c r="O360" i="1" s="1"/>
  <c r="O357" i="1" s="1"/>
  <c r="O354" i="1" s="1"/>
  <c r="O351" i="1" s="1"/>
  <c r="O348" i="1" s="1"/>
  <c r="O345" i="1" s="1"/>
  <c r="O342" i="1" s="1"/>
  <c r="O339" i="1" s="1"/>
  <c r="O336" i="1" s="1"/>
  <c r="O333" i="1" s="1"/>
  <c r="O330" i="1" s="1"/>
  <c r="O327" i="1" s="1"/>
  <c r="O324" i="1" s="1"/>
  <c r="O321" i="1" s="1"/>
  <c r="O318" i="1" s="1"/>
  <c r="O315" i="1" s="1"/>
  <c r="O312" i="1" s="1"/>
  <c r="O309" i="1" s="1"/>
  <c r="O306" i="1" s="1"/>
  <c r="O303" i="1" s="1"/>
  <c r="O300" i="1" s="1"/>
  <c r="O297" i="1" s="1"/>
  <c r="O294" i="1" s="1"/>
  <c r="O291" i="1" s="1"/>
  <c r="O288" i="1" s="1"/>
  <c r="O285" i="1" s="1"/>
  <c r="O282" i="1" s="1"/>
  <c r="O279" i="1" s="1"/>
  <c r="O276" i="1" s="1"/>
  <c r="O273" i="1" s="1"/>
  <c r="O270" i="1" s="1"/>
  <c r="O267" i="1" s="1"/>
  <c r="O264" i="1" s="1"/>
  <c r="O261" i="1" s="1"/>
  <c r="O258" i="1" s="1"/>
  <c r="O255" i="1" s="1"/>
  <c r="O252" i="1" s="1"/>
  <c r="O249" i="1" s="1"/>
  <c r="O246" i="1" s="1"/>
  <c r="O243" i="1" s="1"/>
  <c r="O240" i="1" s="1"/>
  <c r="O237" i="1" s="1"/>
  <c r="O234" i="1" s="1"/>
  <c r="O231" i="1" s="1"/>
  <c r="O228" i="1" s="1"/>
  <c r="O225" i="1" s="1"/>
  <c r="O222" i="1" s="1"/>
  <c r="O219" i="1" s="1"/>
  <c r="O216" i="1" s="1"/>
  <c r="O213" i="1" s="1"/>
  <c r="O210" i="1" s="1"/>
  <c r="O207" i="1" s="1"/>
  <c r="O204" i="1" s="1"/>
  <c r="O201" i="1" s="1"/>
  <c r="O198" i="1" s="1"/>
  <c r="O195" i="1" s="1"/>
  <c r="O192" i="1" s="1"/>
  <c r="O189" i="1" s="1"/>
  <c r="O186" i="1" s="1"/>
  <c r="O183" i="1" s="1"/>
  <c r="O180" i="1" s="1"/>
  <c r="O177" i="1" s="1"/>
  <c r="O174" i="1" s="1"/>
  <c r="O171" i="1" s="1"/>
  <c r="O168" i="1" s="1"/>
  <c r="O165" i="1" s="1"/>
  <c r="O162" i="1" s="1"/>
  <c r="O159" i="1" s="1"/>
  <c r="O156" i="1" s="1"/>
  <c r="O153" i="1" s="1"/>
  <c r="O150" i="1" s="1"/>
  <c r="O147" i="1" s="1"/>
  <c r="O144" i="1" s="1"/>
  <c r="O141" i="1" s="1"/>
  <c r="O138" i="1" s="1"/>
  <c r="O135" i="1" s="1"/>
  <c r="O132" i="1" s="1"/>
  <c r="O129" i="1" s="1"/>
  <c r="O126" i="1" s="1"/>
  <c r="O123" i="1" s="1"/>
  <c r="O120" i="1" s="1"/>
  <c r="O117" i="1" s="1"/>
  <c r="O114" i="1" s="1"/>
  <c r="O111" i="1" s="1"/>
  <c r="O108" i="1" s="1"/>
  <c r="O105" i="1" s="1"/>
  <c r="O102" i="1" s="1"/>
  <c r="O99" i="1" s="1"/>
  <c r="O96" i="1" s="1"/>
  <c r="O93" i="1" s="1"/>
  <c r="O90" i="1" s="1"/>
  <c r="O87" i="1" s="1"/>
  <c r="O84" i="1" s="1"/>
  <c r="O81" i="1" s="1"/>
  <c r="O78" i="1" s="1"/>
  <c r="O75" i="1" s="1"/>
  <c r="O72" i="1" s="1"/>
  <c r="O69" i="1" s="1"/>
  <c r="O66" i="1" s="1"/>
  <c r="O63" i="1" s="1"/>
  <c r="O60" i="1" s="1"/>
  <c r="O57" i="1" s="1"/>
  <c r="O54" i="1" s="1"/>
  <c r="O51" i="1" s="1"/>
  <c r="O48" i="1" s="1"/>
  <c r="O45" i="1" s="1"/>
  <c r="O42" i="1" s="1"/>
  <c r="O39" i="1" s="1"/>
  <c r="O36" i="1" s="1"/>
  <c r="O33" i="1" s="1"/>
  <c r="O30" i="1" s="1"/>
  <c r="O27" i="1" s="1"/>
  <c r="O24" i="1" s="1"/>
  <c r="O21" i="1" s="1"/>
  <c r="O18" i="1" s="1"/>
  <c r="O15" i="1" s="1"/>
  <c r="O12" i="1" s="1"/>
  <c r="O9" i="1" s="1"/>
  <c r="O6" i="1" s="1"/>
  <c r="M621" i="1"/>
  <c r="M618" i="1" s="1"/>
  <c r="M615" i="1" s="1"/>
  <c r="M612" i="1" s="1"/>
  <c r="M609" i="1" s="1"/>
  <c r="M606" i="1" s="1"/>
  <c r="M603" i="1" s="1"/>
  <c r="M600" i="1" s="1"/>
  <c r="M597" i="1" s="1"/>
  <c r="M594" i="1" s="1"/>
  <c r="M591" i="1" s="1"/>
  <c r="M588" i="1" s="1"/>
  <c r="M585" i="1" s="1"/>
  <c r="M582" i="1" s="1"/>
  <c r="M579" i="1" s="1"/>
  <c r="M576" i="1" s="1"/>
  <c r="M573" i="1" s="1"/>
  <c r="M570" i="1" s="1"/>
  <c r="M567" i="1" s="1"/>
  <c r="M564" i="1" s="1"/>
  <c r="M561" i="1" s="1"/>
  <c r="M558" i="1" s="1"/>
  <c r="M555" i="1" s="1"/>
  <c r="M552" i="1" s="1"/>
  <c r="M549" i="1" s="1"/>
  <c r="M546" i="1" s="1"/>
  <c r="M543" i="1" s="1"/>
  <c r="M540" i="1" s="1"/>
  <c r="M537" i="1" s="1"/>
  <c r="M534" i="1" s="1"/>
  <c r="M531" i="1" s="1"/>
  <c r="M528" i="1" s="1"/>
  <c r="M525" i="1" s="1"/>
  <c r="M522" i="1" s="1"/>
  <c r="M519" i="1" s="1"/>
  <c r="M516" i="1" s="1"/>
  <c r="M513" i="1" s="1"/>
  <c r="M510" i="1" s="1"/>
  <c r="M507" i="1" s="1"/>
  <c r="M504" i="1" s="1"/>
  <c r="M501" i="1" s="1"/>
  <c r="M498" i="1" s="1"/>
  <c r="M495" i="1" s="1"/>
  <c r="M492" i="1" s="1"/>
  <c r="M489" i="1" s="1"/>
  <c r="M486" i="1" s="1"/>
  <c r="M483" i="1" s="1"/>
  <c r="M480" i="1" s="1"/>
  <c r="M477" i="1" s="1"/>
  <c r="M474" i="1" s="1"/>
  <c r="M471" i="1" s="1"/>
  <c r="M468" i="1" s="1"/>
  <c r="M465" i="1" s="1"/>
  <c r="M462" i="1" s="1"/>
  <c r="M459" i="1" s="1"/>
  <c r="M456" i="1" s="1"/>
  <c r="M453" i="1" s="1"/>
  <c r="M450" i="1" s="1"/>
  <c r="M447" i="1" s="1"/>
  <c r="M444" i="1" s="1"/>
  <c r="M441" i="1" s="1"/>
  <c r="M438" i="1" s="1"/>
  <c r="M435" i="1" s="1"/>
  <c r="M432" i="1" s="1"/>
  <c r="M429" i="1" s="1"/>
  <c r="M426" i="1" s="1"/>
  <c r="M423" i="1" s="1"/>
  <c r="M420" i="1" s="1"/>
  <c r="M417" i="1" s="1"/>
  <c r="M414" i="1" s="1"/>
  <c r="M411" i="1" s="1"/>
  <c r="M408" i="1" s="1"/>
  <c r="M405" i="1" s="1"/>
  <c r="M402" i="1" s="1"/>
  <c r="M399" i="1" s="1"/>
  <c r="M396" i="1" s="1"/>
  <c r="M393" i="1" s="1"/>
  <c r="M390" i="1" s="1"/>
  <c r="M387" i="1" s="1"/>
  <c r="M384" i="1" s="1"/>
  <c r="M381" i="1" s="1"/>
  <c r="M378" i="1" s="1"/>
  <c r="M375" i="1" s="1"/>
  <c r="M372" i="1" s="1"/>
  <c r="M369" i="1" s="1"/>
  <c r="M366" i="1" s="1"/>
  <c r="M363" i="1" s="1"/>
  <c r="M360" i="1" s="1"/>
  <c r="M357" i="1" s="1"/>
  <c r="M354" i="1" s="1"/>
  <c r="M351" i="1" s="1"/>
  <c r="M348" i="1" s="1"/>
  <c r="M345" i="1" s="1"/>
  <c r="M342" i="1" s="1"/>
  <c r="M339" i="1" s="1"/>
  <c r="M336" i="1" s="1"/>
  <c r="M333" i="1" s="1"/>
  <c r="M330" i="1" s="1"/>
  <c r="M327" i="1" s="1"/>
  <c r="M324" i="1" s="1"/>
  <c r="M321" i="1" s="1"/>
  <c r="M318" i="1" s="1"/>
  <c r="M315" i="1" s="1"/>
  <c r="M312" i="1" s="1"/>
  <c r="M309" i="1" s="1"/>
  <c r="M306" i="1" s="1"/>
  <c r="M303" i="1" s="1"/>
  <c r="M300" i="1" s="1"/>
  <c r="M297" i="1" s="1"/>
  <c r="M294" i="1" s="1"/>
  <c r="M291" i="1" s="1"/>
  <c r="M288" i="1" s="1"/>
  <c r="M285" i="1" s="1"/>
  <c r="M282" i="1" s="1"/>
  <c r="M279" i="1" s="1"/>
  <c r="M276" i="1" s="1"/>
  <c r="M273" i="1" s="1"/>
  <c r="M270" i="1" s="1"/>
  <c r="M267" i="1" s="1"/>
  <c r="M264" i="1" s="1"/>
  <c r="M261" i="1" s="1"/>
  <c r="M258" i="1" s="1"/>
  <c r="M255" i="1" s="1"/>
  <c r="M252" i="1" s="1"/>
  <c r="M249" i="1" s="1"/>
  <c r="M246" i="1" s="1"/>
  <c r="M243" i="1" s="1"/>
  <c r="M240" i="1" s="1"/>
  <c r="M237" i="1" s="1"/>
  <c r="M234" i="1" s="1"/>
  <c r="M231" i="1" s="1"/>
  <c r="M228" i="1" s="1"/>
  <c r="M225" i="1" s="1"/>
  <c r="M222" i="1" s="1"/>
  <c r="M219" i="1" s="1"/>
  <c r="M216" i="1" s="1"/>
  <c r="M213" i="1" s="1"/>
  <c r="M210" i="1" s="1"/>
  <c r="M207" i="1" s="1"/>
  <c r="M204" i="1" s="1"/>
  <c r="M201" i="1" s="1"/>
  <c r="M198" i="1" s="1"/>
  <c r="M195" i="1" s="1"/>
  <c r="M192" i="1" s="1"/>
  <c r="M189" i="1" s="1"/>
  <c r="M186" i="1" s="1"/>
  <c r="M183" i="1" s="1"/>
  <c r="M180" i="1" s="1"/>
  <c r="M177" i="1" s="1"/>
  <c r="M174" i="1" s="1"/>
  <c r="M171" i="1" s="1"/>
  <c r="M168" i="1" s="1"/>
  <c r="M165" i="1" s="1"/>
  <c r="M162" i="1" s="1"/>
  <c r="M159" i="1" s="1"/>
  <c r="M156" i="1" s="1"/>
  <c r="M153" i="1" s="1"/>
  <c r="M150" i="1" s="1"/>
  <c r="M147" i="1" s="1"/>
  <c r="M144" i="1" s="1"/>
  <c r="M141" i="1" s="1"/>
  <c r="M138" i="1" s="1"/>
  <c r="M135" i="1" s="1"/>
  <c r="M132" i="1" s="1"/>
  <c r="M129" i="1" s="1"/>
  <c r="M126" i="1" s="1"/>
  <c r="M123" i="1" s="1"/>
  <c r="M120" i="1" s="1"/>
  <c r="M117" i="1" s="1"/>
  <c r="M114" i="1" s="1"/>
  <c r="M111" i="1" s="1"/>
  <c r="M108" i="1" s="1"/>
  <c r="M105" i="1" s="1"/>
  <c r="M102" i="1" s="1"/>
  <c r="M99" i="1" s="1"/>
  <c r="M96" i="1" s="1"/>
  <c r="M93" i="1" s="1"/>
  <c r="M90" i="1" s="1"/>
  <c r="M87" i="1" s="1"/>
  <c r="M84" i="1" s="1"/>
  <c r="M81" i="1" s="1"/>
  <c r="M78" i="1" s="1"/>
  <c r="M75" i="1" s="1"/>
  <c r="M72" i="1" s="1"/>
  <c r="M69" i="1" s="1"/>
  <c r="M66" i="1" s="1"/>
  <c r="M63" i="1" s="1"/>
  <c r="M60" i="1" s="1"/>
  <c r="M57" i="1" s="1"/>
  <c r="M54" i="1" s="1"/>
  <c r="M51" i="1" s="1"/>
  <c r="M48" i="1" s="1"/>
  <c r="M45" i="1" s="1"/>
  <c r="M42" i="1" s="1"/>
  <c r="M39" i="1" s="1"/>
  <c r="M36" i="1" s="1"/>
  <c r="M33" i="1" s="1"/>
  <c r="M30" i="1" s="1"/>
  <c r="M27" i="1" s="1"/>
  <c r="M24" i="1" s="1"/>
  <c r="M21" i="1" s="1"/>
  <c r="M18" i="1" s="1"/>
  <c r="M15" i="1" s="1"/>
  <c r="M12" i="1" s="1"/>
  <c r="M9" i="1" s="1"/>
  <c r="M6" i="1" s="1"/>
  <c r="K621" i="1"/>
  <c r="K618" i="1" s="1"/>
  <c r="K615" i="1" s="1"/>
  <c r="K612" i="1" s="1"/>
  <c r="K609" i="1" s="1"/>
  <c r="K606" i="1" s="1"/>
  <c r="K603" i="1" s="1"/>
  <c r="K600" i="1" s="1"/>
  <c r="K597" i="1" s="1"/>
  <c r="K594" i="1" s="1"/>
  <c r="K591" i="1" s="1"/>
  <c r="K588" i="1" s="1"/>
  <c r="K585" i="1" s="1"/>
  <c r="K582" i="1" s="1"/>
  <c r="K579" i="1" s="1"/>
  <c r="K576" i="1" s="1"/>
  <c r="K573" i="1" s="1"/>
  <c r="K570" i="1" s="1"/>
  <c r="K567" i="1" s="1"/>
  <c r="K564" i="1" s="1"/>
  <c r="K561" i="1" s="1"/>
  <c r="K558" i="1" s="1"/>
  <c r="K555" i="1" s="1"/>
  <c r="K552" i="1" s="1"/>
  <c r="K549" i="1" s="1"/>
  <c r="K546" i="1" s="1"/>
  <c r="K543" i="1" s="1"/>
  <c r="K540" i="1" s="1"/>
  <c r="K537" i="1" s="1"/>
  <c r="K534" i="1" s="1"/>
  <c r="K531" i="1" s="1"/>
  <c r="K528" i="1" s="1"/>
  <c r="K525" i="1" s="1"/>
  <c r="K522" i="1" s="1"/>
  <c r="K519" i="1" s="1"/>
  <c r="K516" i="1" s="1"/>
  <c r="K513" i="1" s="1"/>
  <c r="K510" i="1" s="1"/>
  <c r="K507" i="1" s="1"/>
  <c r="K504" i="1" s="1"/>
  <c r="K501" i="1" s="1"/>
  <c r="K498" i="1" s="1"/>
  <c r="K495" i="1" s="1"/>
  <c r="K492" i="1" s="1"/>
  <c r="K489" i="1" s="1"/>
  <c r="K486" i="1" s="1"/>
  <c r="K483" i="1" s="1"/>
  <c r="K480" i="1" s="1"/>
  <c r="K477" i="1" s="1"/>
  <c r="K474" i="1" s="1"/>
  <c r="K471" i="1" s="1"/>
  <c r="K468" i="1" s="1"/>
  <c r="K465" i="1" s="1"/>
  <c r="K462" i="1" s="1"/>
  <c r="K459" i="1" s="1"/>
  <c r="K456" i="1" s="1"/>
  <c r="K453" i="1" s="1"/>
  <c r="K450" i="1" s="1"/>
  <c r="K447" i="1" s="1"/>
  <c r="K444" i="1" s="1"/>
  <c r="K441" i="1" s="1"/>
  <c r="K438" i="1" s="1"/>
  <c r="K435" i="1" s="1"/>
  <c r="K432" i="1" s="1"/>
  <c r="K429" i="1" s="1"/>
  <c r="K426" i="1" s="1"/>
  <c r="K423" i="1" s="1"/>
  <c r="K420" i="1" s="1"/>
  <c r="K417" i="1" s="1"/>
  <c r="K414" i="1" s="1"/>
  <c r="K411" i="1" s="1"/>
  <c r="K408" i="1" s="1"/>
  <c r="K405" i="1" s="1"/>
  <c r="K402" i="1" s="1"/>
  <c r="K399" i="1" s="1"/>
  <c r="K396" i="1" s="1"/>
  <c r="K393" i="1" s="1"/>
  <c r="K390" i="1" s="1"/>
  <c r="K387" i="1" s="1"/>
  <c r="K384" i="1" s="1"/>
  <c r="K381" i="1" s="1"/>
  <c r="K378" i="1" s="1"/>
  <c r="K375" i="1" s="1"/>
  <c r="K372" i="1" s="1"/>
  <c r="K369" i="1" s="1"/>
  <c r="K366" i="1" s="1"/>
  <c r="K363" i="1" s="1"/>
  <c r="K360" i="1" s="1"/>
  <c r="K357" i="1" s="1"/>
  <c r="K354" i="1" s="1"/>
  <c r="K351" i="1" s="1"/>
  <c r="K348" i="1" s="1"/>
  <c r="K345" i="1" s="1"/>
  <c r="K342" i="1" s="1"/>
  <c r="K339" i="1" s="1"/>
  <c r="K336" i="1" s="1"/>
  <c r="K333" i="1" s="1"/>
  <c r="K330" i="1" s="1"/>
  <c r="K327" i="1" s="1"/>
  <c r="K324" i="1" s="1"/>
  <c r="K321" i="1" s="1"/>
  <c r="K318" i="1" s="1"/>
  <c r="K315" i="1" s="1"/>
  <c r="K312" i="1" s="1"/>
  <c r="K309" i="1" s="1"/>
  <c r="K306" i="1" s="1"/>
  <c r="K303" i="1" s="1"/>
  <c r="K300" i="1" s="1"/>
  <c r="K297" i="1" s="1"/>
  <c r="K294" i="1" s="1"/>
  <c r="K291" i="1" s="1"/>
  <c r="K288" i="1" s="1"/>
  <c r="K285" i="1" s="1"/>
  <c r="K282" i="1" s="1"/>
  <c r="K279" i="1" s="1"/>
  <c r="K276" i="1" s="1"/>
  <c r="K273" i="1" s="1"/>
  <c r="K270" i="1" s="1"/>
  <c r="K267" i="1" s="1"/>
  <c r="K264" i="1" s="1"/>
  <c r="K261" i="1" s="1"/>
  <c r="K258" i="1" s="1"/>
  <c r="K255" i="1" s="1"/>
  <c r="K252" i="1" s="1"/>
  <c r="K249" i="1" s="1"/>
  <c r="K246" i="1" s="1"/>
  <c r="K243" i="1" s="1"/>
  <c r="K240" i="1" s="1"/>
  <c r="K237" i="1" s="1"/>
  <c r="K234" i="1" s="1"/>
  <c r="K231" i="1" s="1"/>
  <c r="K228" i="1" s="1"/>
  <c r="K225" i="1" s="1"/>
  <c r="K222" i="1" s="1"/>
  <c r="K219" i="1" s="1"/>
  <c r="K216" i="1" s="1"/>
  <c r="K213" i="1" s="1"/>
  <c r="K210" i="1" s="1"/>
  <c r="K207" i="1" s="1"/>
  <c r="K204" i="1" s="1"/>
  <c r="K201" i="1" s="1"/>
  <c r="K198" i="1" s="1"/>
  <c r="K195" i="1" s="1"/>
  <c r="K192" i="1" s="1"/>
  <c r="K189" i="1" s="1"/>
  <c r="K186" i="1" s="1"/>
  <c r="K183" i="1" s="1"/>
  <c r="K180" i="1" s="1"/>
  <c r="K177" i="1" s="1"/>
  <c r="K174" i="1" s="1"/>
  <c r="K171" i="1" s="1"/>
  <c r="K168" i="1" s="1"/>
  <c r="K165" i="1" s="1"/>
  <c r="K162" i="1" s="1"/>
  <c r="K159" i="1" s="1"/>
  <c r="K156" i="1" s="1"/>
  <c r="K153" i="1" s="1"/>
  <c r="K150" i="1" s="1"/>
  <c r="K147" i="1" s="1"/>
  <c r="K144" i="1" s="1"/>
  <c r="K141" i="1" s="1"/>
  <c r="K138" i="1" s="1"/>
  <c r="K135" i="1" s="1"/>
  <c r="K132" i="1" s="1"/>
  <c r="K129" i="1" s="1"/>
  <c r="K126" i="1" s="1"/>
  <c r="K123" i="1" s="1"/>
  <c r="K120" i="1" s="1"/>
  <c r="K117" i="1" s="1"/>
  <c r="K114" i="1" s="1"/>
  <c r="K111" i="1" s="1"/>
  <c r="K108" i="1" s="1"/>
  <c r="K105" i="1" s="1"/>
  <c r="K102" i="1" s="1"/>
  <c r="K99" i="1" s="1"/>
  <c r="K96" i="1" s="1"/>
  <c r="K93" i="1" s="1"/>
  <c r="K90" i="1" s="1"/>
  <c r="K87" i="1" s="1"/>
  <c r="K84" i="1" s="1"/>
  <c r="K81" i="1" s="1"/>
  <c r="K78" i="1" s="1"/>
  <c r="K75" i="1" s="1"/>
  <c r="K72" i="1" s="1"/>
  <c r="K69" i="1" s="1"/>
  <c r="K66" i="1" s="1"/>
  <c r="K63" i="1" s="1"/>
  <c r="K60" i="1" s="1"/>
  <c r="K57" i="1" s="1"/>
  <c r="K54" i="1" s="1"/>
  <c r="K51" i="1" s="1"/>
  <c r="K48" i="1" s="1"/>
  <c r="K45" i="1" s="1"/>
  <c r="K42" i="1" s="1"/>
  <c r="K39" i="1" s="1"/>
  <c r="K36" i="1" s="1"/>
  <c r="K33" i="1" s="1"/>
  <c r="K30" i="1" s="1"/>
  <c r="K27" i="1" s="1"/>
  <c r="K24" i="1" s="1"/>
  <c r="K21" i="1" s="1"/>
  <c r="K18" i="1" s="1"/>
  <c r="K15" i="1" s="1"/>
  <c r="K12" i="1" s="1"/>
  <c r="K9" i="1" s="1"/>
  <c r="K6" i="1" s="1"/>
  <c r="I621" i="1"/>
  <c r="I618" i="1" s="1"/>
  <c r="I615" i="1" s="1"/>
  <c r="I612" i="1" s="1"/>
  <c r="I609" i="1" s="1"/>
  <c r="I606" i="1" s="1"/>
  <c r="I603" i="1" s="1"/>
  <c r="I600" i="1" s="1"/>
  <c r="I597" i="1" s="1"/>
  <c r="I594" i="1" s="1"/>
  <c r="I591" i="1" s="1"/>
  <c r="I588" i="1" s="1"/>
  <c r="I585" i="1" s="1"/>
  <c r="I582" i="1" s="1"/>
  <c r="I579" i="1" s="1"/>
  <c r="I576" i="1" s="1"/>
  <c r="I573" i="1" s="1"/>
  <c r="I570" i="1" s="1"/>
  <c r="I567" i="1" s="1"/>
  <c r="I564" i="1" s="1"/>
  <c r="I561" i="1" s="1"/>
  <c r="I558" i="1" s="1"/>
  <c r="I555" i="1" s="1"/>
  <c r="I552" i="1" s="1"/>
  <c r="I549" i="1" s="1"/>
  <c r="I546" i="1" s="1"/>
  <c r="I543" i="1" s="1"/>
  <c r="I540" i="1" s="1"/>
  <c r="I537" i="1" s="1"/>
  <c r="I534" i="1" s="1"/>
  <c r="I531" i="1" s="1"/>
  <c r="I528" i="1" s="1"/>
  <c r="I525" i="1" s="1"/>
  <c r="I522" i="1" s="1"/>
  <c r="I519" i="1" s="1"/>
  <c r="I516" i="1" s="1"/>
  <c r="I513" i="1" s="1"/>
  <c r="I510" i="1" s="1"/>
  <c r="I507" i="1" s="1"/>
  <c r="I504" i="1" s="1"/>
  <c r="I501" i="1" s="1"/>
  <c r="I498" i="1" s="1"/>
  <c r="I495" i="1" s="1"/>
  <c r="I492" i="1" s="1"/>
  <c r="I489" i="1" s="1"/>
  <c r="I486" i="1" s="1"/>
  <c r="I483" i="1" s="1"/>
  <c r="I480" i="1" s="1"/>
  <c r="I477" i="1" s="1"/>
  <c r="I474" i="1" s="1"/>
  <c r="I471" i="1" s="1"/>
  <c r="I468" i="1" s="1"/>
  <c r="I465" i="1" s="1"/>
  <c r="I462" i="1" s="1"/>
  <c r="I459" i="1" s="1"/>
  <c r="I456" i="1" s="1"/>
  <c r="I453" i="1" s="1"/>
  <c r="I450" i="1" s="1"/>
  <c r="I447" i="1" s="1"/>
  <c r="I444" i="1" s="1"/>
  <c r="I441" i="1" s="1"/>
  <c r="I438" i="1" s="1"/>
  <c r="I435" i="1" s="1"/>
  <c r="I432" i="1" s="1"/>
  <c r="I429" i="1" s="1"/>
  <c r="I426" i="1" s="1"/>
  <c r="I423" i="1" s="1"/>
  <c r="I420" i="1" s="1"/>
  <c r="I417" i="1" s="1"/>
  <c r="I414" i="1" s="1"/>
  <c r="I411" i="1" s="1"/>
  <c r="I408" i="1" s="1"/>
  <c r="I405" i="1" s="1"/>
  <c r="I402" i="1" s="1"/>
  <c r="I399" i="1" s="1"/>
  <c r="I396" i="1" s="1"/>
  <c r="I393" i="1" s="1"/>
  <c r="I390" i="1" s="1"/>
  <c r="I387" i="1" s="1"/>
  <c r="I384" i="1" s="1"/>
  <c r="I381" i="1" s="1"/>
  <c r="I378" i="1" s="1"/>
  <c r="I375" i="1" s="1"/>
  <c r="I372" i="1" s="1"/>
  <c r="I369" i="1" s="1"/>
  <c r="I366" i="1" s="1"/>
  <c r="I363" i="1" s="1"/>
  <c r="I360" i="1" s="1"/>
  <c r="I357" i="1" s="1"/>
  <c r="I354" i="1" s="1"/>
  <c r="I351" i="1" s="1"/>
  <c r="I348" i="1" s="1"/>
  <c r="I345" i="1" s="1"/>
  <c r="I342" i="1" s="1"/>
  <c r="I339" i="1" s="1"/>
  <c r="I336" i="1" s="1"/>
  <c r="I333" i="1" s="1"/>
  <c r="I330" i="1" s="1"/>
  <c r="I327" i="1" s="1"/>
  <c r="I324" i="1" s="1"/>
  <c r="I321" i="1" s="1"/>
  <c r="I318" i="1" s="1"/>
  <c r="I315" i="1" s="1"/>
  <c r="I312" i="1" s="1"/>
  <c r="I309" i="1" s="1"/>
  <c r="I306" i="1" s="1"/>
  <c r="I303" i="1" s="1"/>
  <c r="I300" i="1" s="1"/>
  <c r="I297" i="1" s="1"/>
  <c r="I294" i="1" s="1"/>
  <c r="I291" i="1" s="1"/>
  <c r="I288" i="1" s="1"/>
  <c r="I285" i="1" s="1"/>
  <c r="I282" i="1" s="1"/>
  <c r="I279" i="1" s="1"/>
  <c r="I276" i="1" s="1"/>
  <c r="I273" i="1" s="1"/>
  <c r="I270" i="1" s="1"/>
  <c r="I267" i="1" s="1"/>
  <c r="I264" i="1" s="1"/>
  <c r="I261" i="1" s="1"/>
  <c r="I258" i="1" s="1"/>
  <c r="I255" i="1" s="1"/>
  <c r="I252" i="1" s="1"/>
  <c r="I249" i="1" s="1"/>
  <c r="I246" i="1" s="1"/>
  <c r="I243" i="1" s="1"/>
  <c r="I240" i="1" s="1"/>
  <c r="I237" i="1" s="1"/>
  <c r="I234" i="1" s="1"/>
  <c r="I231" i="1" s="1"/>
  <c r="I228" i="1" s="1"/>
  <c r="I225" i="1" s="1"/>
  <c r="I222" i="1" s="1"/>
  <c r="I219" i="1" s="1"/>
  <c r="I216" i="1" s="1"/>
  <c r="I213" i="1" s="1"/>
  <c r="I210" i="1" s="1"/>
  <c r="I207" i="1" s="1"/>
  <c r="I204" i="1" s="1"/>
  <c r="I201" i="1" s="1"/>
  <c r="I198" i="1" s="1"/>
  <c r="I195" i="1" s="1"/>
  <c r="I192" i="1" s="1"/>
  <c r="I189" i="1" s="1"/>
  <c r="I186" i="1" s="1"/>
  <c r="I183" i="1" s="1"/>
  <c r="I180" i="1" s="1"/>
  <c r="I177" i="1" s="1"/>
  <c r="I174" i="1" s="1"/>
  <c r="I171" i="1" s="1"/>
  <c r="I168" i="1" s="1"/>
  <c r="I165" i="1" s="1"/>
  <c r="I162" i="1" s="1"/>
  <c r="I159" i="1" s="1"/>
  <c r="I156" i="1" s="1"/>
  <c r="I153" i="1" s="1"/>
  <c r="I150" i="1" s="1"/>
  <c r="I147" i="1" s="1"/>
  <c r="I144" i="1" s="1"/>
  <c r="I141" i="1" s="1"/>
  <c r="I138" i="1" s="1"/>
  <c r="I135" i="1" s="1"/>
  <c r="I132" i="1" s="1"/>
  <c r="I129" i="1" s="1"/>
  <c r="I126" i="1" s="1"/>
  <c r="I123" i="1" s="1"/>
  <c r="I120" i="1" s="1"/>
  <c r="I117" i="1" s="1"/>
  <c r="I114" i="1" s="1"/>
  <c r="I111" i="1" s="1"/>
  <c r="I108" i="1" s="1"/>
  <c r="I105" i="1" s="1"/>
  <c r="I102" i="1" s="1"/>
  <c r="I99" i="1" s="1"/>
  <c r="I96" i="1" s="1"/>
  <c r="I93" i="1" s="1"/>
  <c r="I90" i="1" s="1"/>
  <c r="I87" i="1" s="1"/>
  <c r="I84" i="1" s="1"/>
  <c r="I81" i="1" s="1"/>
  <c r="I78" i="1" s="1"/>
  <c r="I75" i="1" s="1"/>
  <c r="I72" i="1" s="1"/>
  <c r="I69" i="1" s="1"/>
  <c r="I66" i="1" s="1"/>
  <c r="I63" i="1" s="1"/>
  <c r="I60" i="1" s="1"/>
  <c r="I57" i="1" s="1"/>
  <c r="I54" i="1" s="1"/>
  <c r="I51" i="1" s="1"/>
  <c r="I48" i="1" s="1"/>
  <c r="I45" i="1" s="1"/>
  <c r="I42" i="1" s="1"/>
  <c r="I39" i="1" s="1"/>
  <c r="I36" i="1" s="1"/>
  <c r="I33" i="1" s="1"/>
  <c r="I30" i="1" s="1"/>
  <c r="I27" i="1" s="1"/>
  <c r="I24" i="1" s="1"/>
  <c r="I21" i="1" s="1"/>
  <c r="I18" i="1" s="1"/>
  <c r="I15" i="1" s="1"/>
  <c r="I12" i="1" s="1"/>
  <c r="I9" i="1" s="1"/>
  <c r="I6" i="1" s="1"/>
  <c r="G621" i="1"/>
  <c r="G618" i="1" s="1"/>
  <c r="G615" i="1" s="1"/>
  <c r="G612" i="1" s="1"/>
  <c r="G609" i="1" s="1"/>
  <c r="G606" i="1" s="1"/>
  <c r="G603" i="1" s="1"/>
  <c r="G600" i="1" s="1"/>
  <c r="G597" i="1" s="1"/>
  <c r="G594" i="1" s="1"/>
  <c r="G591" i="1" s="1"/>
  <c r="G588" i="1" s="1"/>
  <c r="G585" i="1" s="1"/>
  <c r="G582" i="1" s="1"/>
  <c r="G579" i="1" s="1"/>
  <c r="G576" i="1" s="1"/>
  <c r="G573" i="1" s="1"/>
  <c r="G570" i="1" s="1"/>
  <c r="G567" i="1" s="1"/>
  <c r="G564" i="1" s="1"/>
  <c r="G561" i="1" s="1"/>
  <c r="G558" i="1" s="1"/>
  <c r="G555" i="1" s="1"/>
  <c r="G552" i="1" s="1"/>
  <c r="G549" i="1" s="1"/>
  <c r="G546" i="1" s="1"/>
  <c r="G543" i="1" s="1"/>
  <c r="G540" i="1" s="1"/>
  <c r="G537" i="1" s="1"/>
  <c r="G534" i="1" s="1"/>
  <c r="G531" i="1" s="1"/>
  <c r="G528" i="1" s="1"/>
  <c r="G525" i="1" s="1"/>
  <c r="G522" i="1" s="1"/>
  <c r="G519" i="1" s="1"/>
  <c r="G516" i="1" s="1"/>
  <c r="G513" i="1" s="1"/>
  <c r="G510" i="1" s="1"/>
  <c r="G507" i="1" s="1"/>
  <c r="G504" i="1" s="1"/>
  <c r="G501" i="1" s="1"/>
  <c r="G498" i="1" s="1"/>
  <c r="G495" i="1" s="1"/>
  <c r="G492" i="1" s="1"/>
  <c r="G489" i="1" s="1"/>
  <c r="G486" i="1" s="1"/>
  <c r="G483" i="1" s="1"/>
  <c r="G480" i="1" s="1"/>
  <c r="G477" i="1" s="1"/>
  <c r="G474" i="1" s="1"/>
  <c r="G471" i="1" s="1"/>
  <c r="G468" i="1" s="1"/>
  <c r="G465" i="1" s="1"/>
  <c r="G462" i="1" s="1"/>
  <c r="G459" i="1" s="1"/>
  <c r="G456" i="1" s="1"/>
  <c r="G453" i="1" s="1"/>
  <c r="G450" i="1" s="1"/>
  <c r="G447" i="1" s="1"/>
  <c r="G444" i="1" s="1"/>
  <c r="G441" i="1" s="1"/>
  <c r="G438" i="1" s="1"/>
  <c r="G435" i="1" s="1"/>
  <c r="G432" i="1" s="1"/>
  <c r="G429" i="1" s="1"/>
  <c r="G426" i="1" s="1"/>
  <c r="G423" i="1" s="1"/>
  <c r="G420" i="1" s="1"/>
  <c r="G417" i="1" s="1"/>
  <c r="G414" i="1" s="1"/>
  <c r="G411" i="1" s="1"/>
  <c r="G408" i="1" s="1"/>
  <c r="G405" i="1" s="1"/>
  <c r="G402" i="1" s="1"/>
  <c r="G399" i="1" s="1"/>
  <c r="G396" i="1" s="1"/>
  <c r="G393" i="1" s="1"/>
  <c r="G390" i="1" s="1"/>
  <c r="G387" i="1" s="1"/>
  <c r="G384" i="1" s="1"/>
  <c r="G381" i="1" s="1"/>
  <c r="G378" i="1" s="1"/>
  <c r="G375" i="1" s="1"/>
  <c r="G372" i="1" s="1"/>
  <c r="G369" i="1" s="1"/>
  <c r="G366" i="1" s="1"/>
  <c r="G363" i="1" s="1"/>
  <c r="G360" i="1" s="1"/>
  <c r="G357" i="1" s="1"/>
  <c r="G354" i="1" s="1"/>
  <c r="G351" i="1" s="1"/>
  <c r="G348" i="1" s="1"/>
  <c r="G345" i="1" s="1"/>
  <c r="G342" i="1" s="1"/>
  <c r="G339" i="1" s="1"/>
  <c r="G336" i="1" s="1"/>
  <c r="G333" i="1" s="1"/>
  <c r="G330" i="1" s="1"/>
  <c r="G327" i="1" s="1"/>
  <c r="G324" i="1" s="1"/>
  <c r="G321" i="1" s="1"/>
  <c r="G318" i="1" s="1"/>
  <c r="G315" i="1" s="1"/>
  <c r="G312" i="1" s="1"/>
  <c r="G309" i="1" s="1"/>
  <c r="G306" i="1" s="1"/>
  <c r="G303" i="1" s="1"/>
  <c r="G300" i="1" s="1"/>
  <c r="G297" i="1" s="1"/>
  <c r="G294" i="1" s="1"/>
  <c r="G291" i="1" s="1"/>
  <c r="G288" i="1" s="1"/>
  <c r="G285" i="1" s="1"/>
  <c r="G282" i="1" s="1"/>
  <c r="G279" i="1" s="1"/>
  <c r="G276" i="1" s="1"/>
  <c r="G273" i="1" s="1"/>
  <c r="G270" i="1" s="1"/>
  <c r="G267" i="1" s="1"/>
  <c r="G264" i="1" s="1"/>
  <c r="G261" i="1" s="1"/>
  <c r="G258" i="1" s="1"/>
  <c r="G255" i="1" s="1"/>
  <c r="G252" i="1" s="1"/>
  <c r="G249" i="1" s="1"/>
  <c r="G246" i="1" s="1"/>
  <c r="G243" i="1" s="1"/>
  <c r="G240" i="1" s="1"/>
  <c r="G237" i="1" s="1"/>
  <c r="G234" i="1" s="1"/>
  <c r="G231" i="1" s="1"/>
  <c r="G228" i="1" s="1"/>
  <c r="G225" i="1" s="1"/>
  <c r="G222" i="1" s="1"/>
  <c r="G219" i="1" s="1"/>
  <c r="G216" i="1" s="1"/>
  <c r="G213" i="1" s="1"/>
  <c r="G210" i="1" s="1"/>
  <c r="G207" i="1" s="1"/>
  <c r="G204" i="1" s="1"/>
  <c r="G201" i="1" s="1"/>
  <c r="G198" i="1" s="1"/>
  <c r="G195" i="1" s="1"/>
  <c r="G192" i="1" s="1"/>
  <c r="G189" i="1" s="1"/>
  <c r="G186" i="1" s="1"/>
  <c r="G183" i="1" s="1"/>
  <c r="G180" i="1" s="1"/>
  <c r="G177" i="1" s="1"/>
  <c r="G174" i="1" s="1"/>
  <c r="G171" i="1" s="1"/>
  <c r="G168" i="1" s="1"/>
  <c r="G165" i="1" s="1"/>
  <c r="G162" i="1" s="1"/>
  <c r="G159" i="1" s="1"/>
  <c r="G156" i="1" s="1"/>
  <c r="G153" i="1" s="1"/>
  <c r="G150" i="1" s="1"/>
  <c r="G147" i="1" s="1"/>
  <c r="G144" i="1" s="1"/>
  <c r="G141" i="1" s="1"/>
  <c r="G138" i="1" s="1"/>
  <c r="G135" i="1" s="1"/>
  <c r="G132" i="1" s="1"/>
  <c r="G129" i="1" s="1"/>
  <c r="G126" i="1" s="1"/>
  <c r="G123" i="1" s="1"/>
  <c r="G120" i="1" s="1"/>
  <c r="G117" i="1" s="1"/>
  <c r="G114" i="1" s="1"/>
  <c r="G111" i="1" s="1"/>
  <c r="G108" i="1" s="1"/>
  <c r="G105" i="1" s="1"/>
  <c r="G102" i="1" s="1"/>
  <c r="G99" i="1" s="1"/>
  <c r="G93" i="1" s="1"/>
  <c r="G90" i="1" s="1"/>
  <c r="G87" i="1" s="1"/>
  <c r="G84" i="1" s="1"/>
  <c r="G81" i="1" s="1"/>
  <c r="G78" i="1" s="1"/>
  <c r="G75" i="1" s="1"/>
  <c r="G72" i="1" s="1"/>
  <c r="G69" i="1" s="1"/>
  <c r="G66" i="1" s="1"/>
  <c r="G63" i="1" s="1"/>
  <c r="G60" i="1" s="1"/>
  <c r="G57" i="1" s="1"/>
  <c r="G54" i="1" s="1"/>
  <c r="G51" i="1" s="1"/>
  <c r="G48" i="1" s="1"/>
  <c r="G45" i="1" s="1"/>
  <c r="G42" i="1" s="1"/>
  <c r="G39" i="1" s="1"/>
  <c r="G36" i="1" s="1"/>
  <c r="G33" i="1" s="1"/>
  <c r="G30" i="1" s="1"/>
  <c r="G27" i="1" s="1"/>
  <c r="G24" i="1" s="1"/>
  <c r="G21" i="1" s="1"/>
  <c r="G18" i="1" s="1"/>
  <c r="G15" i="1" s="1"/>
  <c r="G12" i="1" s="1"/>
  <c r="G9" i="1" s="1"/>
  <c r="G6" i="1" s="1"/>
  <c r="E621" i="1"/>
  <c r="E618" i="1" s="1"/>
  <c r="E615" i="1" s="1"/>
  <c r="E612" i="1" s="1"/>
  <c r="E609" i="1" s="1"/>
  <c r="E606" i="1" s="1"/>
  <c r="E603" i="1" s="1"/>
  <c r="E600" i="1" s="1"/>
  <c r="E597" i="1" s="1"/>
  <c r="E594" i="1" s="1"/>
  <c r="E591" i="1" s="1"/>
  <c r="E588" i="1" s="1"/>
  <c r="E585" i="1" s="1"/>
  <c r="E582" i="1" s="1"/>
  <c r="E579" i="1" s="1"/>
  <c r="E576" i="1" s="1"/>
  <c r="E573" i="1" s="1"/>
  <c r="E570" i="1" s="1"/>
  <c r="E567" i="1" s="1"/>
  <c r="E564" i="1" s="1"/>
  <c r="E561" i="1" s="1"/>
  <c r="E558" i="1" s="1"/>
  <c r="E555" i="1" s="1"/>
  <c r="E552" i="1" s="1"/>
  <c r="E549" i="1" s="1"/>
  <c r="E546" i="1" s="1"/>
  <c r="E543" i="1" s="1"/>
  <c r="E540" i="1" s="1"/>
  <c r="E537" i="1" s="1"/>
  <c r="E534" i="1" s="1"/>
  <c r="E531" i="1" s="1"/>
  <c r="E528" i="1" s="1"/>
  <c r="E525" i="1" s="1"/>
  <c r="E522" i="1" s="1"/>
  <c r="E519" i="1" s="1"/>
  <c r="E516" i="1" s="1"/>
  <c r="E513" i="1" s="1"/>
  <c r="E510" i="1" s="1"/>
  <c r="E507" i="1" s="1"/>
  <c r="E504" i="1" s="1"/>
  <c r="E501" i="1" s="1"/>
  <c r="E498" i="1" s="1"/>
  <c r="E495" i="1" s="1"/>
  <c r="E492" i="1" s="1"/>
  <c r="E489" i="1" s="1"/>
  <c r="E486" i="1" s="1"/>
  <c r="E483" i="1" s="1"/>
  <c r="E480" i="1" s="1"/>
  <c r="E477" i="1" s="1"/>
  <c r="E474" i="1" s="1"/>
  <c r="E471" i="1" s="1"/>
  <c r="E468" i="1" s="1"/>
  <c r="E465" i="1" s="1"/>
  <c r="E462" i="1" s="1"/>
  <c r="E459" i="1" s="1"/>
  <c r="E456" i="1" s="1"/>
  <c r="E453" i="1" s="1"/>
  <c r="E450" i="1" s="1"/>
  <c r="E447" i="1" s="1"/>
  <c r="E444" i="1" s="1"/>
  <c r="E441" i="1" s="1"/>
  <c r="E438" i="1" s="1"/>
  <c r="E435" i="1" s="1"/>
  <c r="E432" i="1" s="1"/>
  <c r="E429" i="1" s="1"/>
  <c r="E426" i="1" s="1"/>
  <c r="E423" i="1" s="1"/>
  <c r="E420" i="1" s="1"/>
  <c r="E417" i="1" s="1"/>
  <c r="E414" i="1" s="1"/>
  <c r="E411" i="1" s="1"/>
  <c r="E408" i="1" s="1"/>
  <c r="E405" i="1" s="1"/>
  <c r="E402" i="1" s="1"/>
  <c r="E399" i="1" s="1"/>
  <c r="E396" i="1" s="1"/>
  <c r="E393" i="1" s="1"/>
  <c r="E390" i="1" s="1"/>
  <c r="E387" i="1" s="1"/>
  <c r="E384" i="1" s="1"/>
  <c r="E381" i="1" s="1"/>
  <c r="E378" i="1" s="1"/>
  <c r="E375" i="1" s="1"/>
  <c r="E372" i="1" s="1"/>
  <c r="E369" i="1" s="1"/>
  <c r="E366" i="1" s="1"/>
  <c r="E363" i="1" s="1"/>
  <c r="E360" i="1" s="1"/>
  <c r="E357" i="1" s="1"/>
  <c r="E354" i="1" s="1"/>
  <c r="E351" i="1" s="1"/>
  <c r="E348" i="1" s="1"/>
  <c r="E345" i="1" s="1"/>
  <c r="E342" i="1" s="1"/>
  <c r="E339" i="1" s="1"/>
  <c r="E336" i="1" s="1"/>
  <c r="E333" i="1" s="1"/>
  <c r="E330" i="1" s="1"/>
  <c r="E327" i="1" s="1"/>
  <c r="E324" i="1" s="1"/>
  <c r="E321" i="1" s="1"/>
  <c r="E318" i="1" s="1"/>
  <c r="E315" i="1" s="1"/>
  <c r="E312" i="1" s="1"/>
  <c r="E309" i="1" s="1"/>
  <c r="E306" i="1" s="1"/>
  <c r="E303" i="1" s="1"/>
  <c r="E300" i="1" s="1"/>
  <c r="E297" i="1" s="1"/>
  <c r="E294" i="1" s="1"/>
  <c r="E291" i="1" s="1"/>
  <c r="E288" i="1" s="1"/>
  <c r="E285" i="1" s="1"/>
  <c r="E282" i="1" s="1"/>
  <c r="E279" i="1" s="1"/>
  <c r="E276" i="1" s="1"/>
  <c r="E273" i="1" s="1"/>
  <c r="E270" i="1" s="1"/>
  <c r="E267" i="1" s="1"/>
  <c r="E264" i="1" s="1"/>
  <c r="E261" i="1" s="1"/>
  <c r="E258" i="1" s="1"/>
  <c r="E255" i="1" s="1"/>
  <c r="E252" i="1" s="1"/>
  <c r="E249" i="1" s="1"/>
  <c r="E246" i="1" s="1"/>
  <c r="E243" i="1" s="1"/>
  <c r="E240" i="1" s="1"/>
  <c r="E237" i="1" s="1"/>
  <c r="E234" i="1" s="1"/>
  <c r="E231" i="1" s="1"/>
  <c r="E228" i="1" s="1"/>
  <c r="E225" i="1" s="1"/>
  <c r="E222" i="1" s="1"/>
  <c r="E219" i="1" s="1"/>
  <c r="E216" i="1" s="1"/>
  <c r="E213" i="1" s="1"/>
  <c r="E210" i="1" s="1"/>
  <c r="E207" i="1" s="1"/>
  <c r="E204" i="1" s="1"/>
  <c r="E201" i="1" s="1"/>
  <c r="E198" i="1" s="1"/>
  <c r="E195" i="1" s="1"/>
  <c r="E192" i="1" s="1"/>
  <c r="E189" i="1" s="1"/>
  <c r="E186" i="1" s="1"/>
  <c r="E183" i="1" s="1"/>
  <c r="E180" i="1" s="1"/>
  <c r="E177" i="1" s="1"/>
  <c r="E174" i="1" s="1"/>
  <c r="E171" i="1" s="1"/>
  <c r="E168" i="1" s="1"/>
  <c r="E165" i="1" s="1"/>
  <c r="E162" i="1" s="1"/>
  <c r="E159" i="1" s="1"/>
  <c r="E156" i="1" s="1"/>
  <c r="E153" i="1" s="1"/>
  <c r="E150" i="1" s="1"/>
  <c r="E147" i="1" s="1"/>
  <c r="E144" i="1" s="1"/>
  <c r="E141" i="1" s="1"/>
  <c r="E138" i="1" s="1"/>
  <c r="E135" i="1" s="1"/>
  <c r="E132" i="1" s="1"/>
  <c r="E129" i="1" s="1"/>
  <c r="E126" i="1" s="1"/>
  <c r="E123" i="1" s="1"/>
  <c r="E120" i="1" s="1"/>
  <c r="E117" i="1" s="1"/>
  <c r="E114" i="1" s="1"/>
  <c r="E111" i="1" s="1"/>
  <c r="E108" i="1" s="1"/>
  <c r="E105" i="1" s="1"/>
  <c r="E102" i="1" s="1"/>
  <c r="E99" i="1" s="1"/>
  <c r="E96" i="1" s="1"/>
  <c r="E93" i="1" s="1"/>
  <c r="E90" i="1" s="1"/>
  <c r="E87" i="1" s="1"/>
  <c r="E84" i="1" s="1"/>
  <c r="E81" i="1" s="1"/>
  <c r="E78" i="1" s="1"/>
  <c r="E75" i="1" s="1"/>
  <c r="E72" i="1" s="1"/>
  <c r="E69" i="1" s="1"/>
  <c r="E66" i="1" s="1"/>
  <c r="E63" i="1" s="1"/>
  <c r="E60" i="1" s="1"/>
  <c r="E57" i="1" s="1"/>
  <c r="E54" i="1" s="1"/>
  <c r="E51" i="1" s="1"/>
  <c r="E48" i="1" s="1"/>
  <c r="E45" i="1" s="1"/>
  <c r="E42" i="1" s="1"/>
  <c r="E39" i="1" s="1"/>
  <c r="E36" i="1" s="1"/>
  <c r="E33" i="1" s="1"/>
  <c r="E30" i="1" s="1"/>
  <c r="E27" i="1" s="1"/>
  <c r="E24" i="1" s="1"/>
  <c r="E21" i="1" s="1"/>
  <c r="E18" i="1" s="1"/>
  <c r="E15" i="1" s="1"/>
  <c r="E12" i="1" s="1"/>
  <c r="E9" i="1" s="1"/>
  <c r="E6" i="1" s="1"/>
  <c r="E3" i="1" s="1"/>
</calcChain>
</file>

<file path=xl/sharedStrings.xml><?xml version="1.0" encoding="utf-8"?>
<sst xmlns="http://schemas.openxmlformats.org/spreadsheetml/2006/main" count="742" uniqueCount="58">
  <si>
    <t>Date</t>
  </si>
  <si>
    <t>Shift</t>
  </si>
  <si>
    <t>Turbidity(NTU)</t>
  </si>
  <si>
    <t>S/Alum (Kg)</t>
  </si>
  <si>
    <t>L/Alum(Litre)</t>
  </si>
  <si>
    <t>P/PAC(Kg)</t>
  </si>
  <si>
    <t>L/PAC(Litre)</t>
  </si>
  <si>
    <t>Chlorine (Kg)</t>
  </si>
  <si>
    <t>B/P (Kg)</t>
  </si>
  <si>
    <t>NaOCl (Litre)</t>
  </si>
  <si>
    <t>A</t>
  </si>
  <si>
    <t>B</t>
  </si>
  <si>
    <t>C</t>
  </si>
  <si>
    <t>Row Labels</t>
  </si>
  <si>
    <t>Grand Total</t>
  </si>
  <si>
    <t>Sum of S/Alum (Kg)</t>
  </si>
  <si>
    <t>Sum of P/PAC(Kg)</t>
  </si>
  <si>
    <t>Month</t>
  </si>
  <si>
    <t>Apr</t>
  </si>
  <si>
    <t>May</t>
  </si>
  <si>
    <t>June</t>
  </si>
  <si>
    <t>July</t>
  </si>
  <si>
    <t>Aug</t>
  </si>
  <si>
    <t>Sep</t>
  </si>
  <si>
    <t>Oct</t>
  </si>
  <si>
    <t>Sum of L/Alum(Litre)</t>
  </si>
  <si>
    <t>Sum of L/PAC(Litre)</t>
  </si>
  <si>
    <t>Sum of Chlorine (Kg)</t>
  </si>
  <si>
    <t>Sum of B/P (Kg)</t>
  </si>
  <si>
    <t>Sum of NaOCl (Litre)</t>
  </si>
  <si>
    <t>0</t>
  </si>
  <si>
    <t>888</t>
  </si>
  <si>
    <t>1300</t>
  </si>
  <si>
    <t>270</t>
  </si>
  <si>
    <t>Jun</t>
  </si>
  <si>
    <t>Jul</t>
  </si>
  <si>
    <t>Sum of S/Alum (Kg)2</t>
  </si>
  <si>
    <t>Sum of L/Alum(Litre)2</t>
  </si>
  <si>
    <t>Sum of P/PAC(Kg)2</t>
  </si>
  <si>
    <t>Sum of L/PAC(Litre)2</t>
  </si>
  <si>
    <t>Sum of Chlorine (Kg)2</t>
  </si>
  <si>
    <t>Sum of B/P (Kg)2</t>
  </si>
  <si>
    <t>Sum of NaOCl (Litre)2</t>
  </si>
  <si>
    <t xml:space="preserve">  </t>
  </si>
  <si>
    <r>
      <t xml:space="preserve">                                                                                                                                               </t>
    </r>
    <r>
      <rPr>
        <b/>
        <sz val="11"/>
        <color theme="1"/>
        <rFont val="Calibri"/>
        <family val="2"/>
        <scheme val="minor"/>
      </rPr>
      <t xml:space="preserve"> CHEMICALS</t>
    </r>
  </si>
  <si>
    <t>Chemicals</t>
  </si>
  <si>
    <t>S/Alum</t>
  </si>
  <si>
    <t>L/Alum</t>
  </si>
  <si>
    <t>P/PAC</t>
  </si>
  <si>
    <t>L/PAC</t>
  </si>
  <si>
    <t xml:space="preserve">Chemicals </t>
  </si>
  <si>
    <t>Amount(kg/ltr)</t>
  </si>
  <si>
    <t>Chlorine</t>
  </si>
  <si>
    <t>B/P</t>
  </si>
  <si>
    <t>NaOCl</t>
  </si>
  <si>
    <t>293152 kg</t>
  </si>
  <si>
    <t>609976ltr</t>
  </si>
  <si>
    <t>Sum of Amount(kg/ltr)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</si>
</sst>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4"/>
      <color theme="1"/>
      <name val="Calibri"/>
      <family val="2"/>
      <scheme val="minor"/>
    </font>
    <font>
      <b/>
      <sz val="11"/>
      <color theme="1"/>
      <name val="Calibri"/>
      <family val="2"/>
      <scheme val="minor"/>
    </font>
    <font>
      <sz val="8"/>
      <name val="Calibri"/>
      <family val="2"/>
      <scheme val="minor"/>
    </font>
    <font>
      <b/>
      <sz val="11"/>
      <color rgb="FF000000"/>
      <name val="Calibri"/>
      <family val="2"/>
      <scheme val="minor"/>
    </font>
  </fonts>
  <fills count="2">
    <fill>
      <patternFill patternType="none"/>
    </fill>
    <fill>
      <patternFill patternType="gray125"/>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2">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49" fontId="0" fillId="0" borderId="0" xfId="0" applyNumberFormat="1" applyAlignment="1">
      <alignment horizontal="center" vertical="center"/>
    </xf>
    <xf numFmtId="0" fontId="0" fillId="0" borderId="0" xfId="0" applyAlignment="1">
      <alignment horizontal="left"/>
    </xf>
    <xf numFmtId="0" fontId="0" fillId="0" borderId="0" xfId="0" applyAlignment="1">
      <alignment horizontal="center" vertical="top"/>
    </xf>
    <xf numFmtId="0" fontId="0" fillId="0" borderId="0" xfId="0" pivotButton="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49" fontId="0" fillId="0" borderId="0" xfId="0" applyNumberFormat="1"/>
    <xf numFmtId="0" fontId="1" fillId="0" borderId="0" xfId="0" applyFont="1"/>
    <xf numFmtId="0" fontId="4" fillId="0" borderId="0" xfId="0" applyFont="1"/>
    <xf numFmtId="0" fontId="2" fillId="0" borderId="0" xfId="0" applyFont="1"/>
    <xf numFmtId="0" fontId="0" fillId="0" borderId="0" xfId="0" applyAlignment="1">
      <alignment horizontal="center"/>
    </xf>
    <xf numFmtId="0" fontId="0" fillId="0" borderId="0" xfId="0" applyAlignment="1">
      <alignment horizontal="center" vertical="center"/>
    </xf>
    <xf numFmtId="49" fontId="0" fillId="0" borderId="0" xfId="0" applyNumberFormat="1" applyAlignment="1">
      <alignment horizontal="center" vertical="center"/>
    </xf>
    <xf numFmtId="14" fontId="0" fillId="0" borderId="0" xfId="0" applyNumberFormat="1" applyAlignment="1">
      <alignment horizontal="center" vertical="center" wrapText="1"/>
    </xf>
    <xf numFmtId="14" fontId="0" fillId="0" borderId="0" xfId="0" applyNumberFormat="1" applyAlignment="1">
      <alignment horizontal="center" vertical="center"/>
    </xf>
    <xf numFmtId="0" fontId="0" fillId="0" borderId="0" xfId="0" applyAlignment="1">
      <alignment vertical="center"/>
    </xf>
    <xf numFmtId="49"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horizontal="left"/>
    </xf>
    <xf numFmtId="0" fontId="0" fillId="0" borderId="0" xfId="0" applyNumberFormat="1"/>
    <xf numFmtId="0" fontId="0" fillId="0" borderId="0" xfId="0" applyNumberFormat="1" applyAlignment="1">
      <alignment horizontal="center" vertic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[chemical consumption dashboard.xlsx]Sheet4!PivotTable32</c:name>
    <c:fmtId val="9"/>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0087178474816"/>
          <c:y val="7.666800644817949E-2"/>
          <c:w val="0.57553504429823865"/>
          <c:h val="0.87798565492108049"/>
        </c:manualLayout>
      </c:layout>
      <c:barChart>
        <c:barDir val="bar"/>
        <c:grouping val="clustered"/>
        <c:varyColors val="0"/>
        <c:ser>
          <c:idx val="0"/>
          <c:order val="0"/>
          <c:tx>
            <c:strRef>
              <c:f>Sheet4!$B$3</c:f>
              <c:strCache>
                <c:ptCount val="1"/>
                <c:pt idx="0">
                  <c:v>Sum of S/Alum (Kg)2</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Sheet4!$A$4:$A$5</c:f>
              <c:strCache>
                <c:ptCount val="1"/>
                <c:pt idx="0">
                  <c:v>Jul</c:v>
                </c:pt>
              </c:strCache>
            </c:strRef>
          </c:cat>
          <c:val>
            <c:numRef>
              <c:f>Sheet4!$B$4:$B$5</c:f>
              <c:numCache>
                <c:formatCode>General</c:formatCode>
                <c:ptCount val="1"/>
                <c:pt idx="0">
                  <c:v>35110</c:v>
                </c:pt>
              </c:numCache>
            </c:numRef>
          </c:val>
          <c:extLst>
            <c:ext xmlns:c16="http://schemas.microsoft.com/office/drawing/2014/chart" uri="{C3380CC4-5D6E-409C-BE32-E72D297353CC}">
              <c16:uniqueId val="{00000000-1CCE-43C6-8BD7-B405B5830740}"/>
            </c:ext>
          </c:extLst>
        </c:ser>
        <c:ser>
          <c:idx val="1"/>
          <c:order val="1"/>
          <c:tx>
            <c:strRef>
              <c:f>Sheet4!$C$3</c:f>
              <c:strCache>
                <c:ptCount val="1"/>
                <c:pt idx="0">
                  <c:v>Sum of L/Alum(Litre)2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Sheet4!$A$4:$A$5</c:f>
              <c:strCache>
                <c:ptCount val="1"/>
                <c:pt idx="0">
                  <c:v>Jul</c:v>
                </c:pt>
              </c:strCache>
            </c:strRef>
          </c:cat>
          <c:val>
            <c:numRef>
              <c:f>Sheet4!$C$4:$C$5</c:f>
              <c:numCache>
                <c:formatCode>General</c:formatCode>
                <c:ptCount val="1"/>
                <c:pt idx="0">
                  <c:v>50623</c:v>
                </c:pt>
              </c:numCache>
            </c:numRef>
          </c:val>
          <c:extLst>
            <c:ext xmlns:c16="http://schemas.microsoft.com/office/drawing/2014/chart" uri="{C3380CC4-5D6E-409C-BE32-E72D297353CC}">
              <c16:uniqueId val="{00000001-1CCE-43C6-8BD7-B405B5830740}"/>
            </c:ext>
          </c:extLst>
        </c:ser>
        <c:ser>
          <c:idx val="2"/>
          <c:order val="2"/>
          <c:tx>
            <c:strRef>
              <c:f>Sheet4!$D$3</c:f>
              <c:strCache>
                <c:ptCount val="1"/>
                <c:pt idx="0">
                  <c:v>Sum of P/PAC(Kg)2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Sheet4!$A$4:$A$5</c:f>
              <c:strCache>
                <c:ptCount val="1"/>
                <c:pt idx="0">
                  <c:v>Jul</c:v>
                </c:pt>
              </c:strCache>
            </c:strRef>
          </c:cat>
          <c:val>
            <c:numRef>
              <c:f>Sheet4!$D$4:$D$5</c:f>
              <c:numCache>
                <c:formatCode>General</c:formatCode>
                <c:ptCount val="1"/>
                <c:pt idx="0">
                  <c:v>23600</c:v>
                </c:pt>
              </c:numCache>
            </c:numRef>
          </c:val>
          <c:extLst>
            <c:ext xmlns:c16="http://schemas.microsoft.com/office/drawing/2014/chart" uri="{C3380CC4-5D6E-409C-BE32-E72D297353CC}">
              <c16:uniqueId val="{00000002-1CCE-43C6-8BD7-B405B5830740}"/>
            </c:ext>
          </c:extLst>
        </c:ser>
        <c:ser>
          <c:idx val="3"/>
          <c:order val="3"/>
          <c:tx>
            <c:strRef>
              <c:f>Sheet4!$E$3</c:f>
              <c:strCache>
                <c:ptCount val="1"/>
                <c:pt idx="0">
                  <c:v>Sum of L/PAC(Litre)2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Sheet4!$A$4:$A$5</c:f>
              <c:strCache>
                <c:ptCount val="1"/>
                <c:pt idx="0">
                  <c:v>Jul</c:v>
                </c:pt>
              </c:strCache>
            </c:strRef>
          </c:cat>
          <c:val>
            <c:numRef>
              <c:f>Sheet4!$E$4:$E$5</c:f>
              <c:numCache>
                <c:formatCode>General</c:formatCode>
                <c:ptCount val="1"/>
                <c:pt idx="0">
                  <c:v>61834</c:v>
                </c:pt>
              </c:numCache>
            </c:numRef>
          </c:val>
          <c:extLst>
            <c:ext xmlns:c16="http://schemas.microsoft.com/office/drawing/2014/chart" uri="{C3380CC4-5D6E-409C-BE32-E72D297353CC}">
              <c16:uniqueId val="{00000003-1CCE-43C6-8BD7-B405B5830740}"/>
            </c:ext>
          </c:extLst>
        </c:ser>
        <c:ser>
          <c:idx val="4"/>
          <c:order val="4"/>
          <c:tx>
            <c:strRef>
              <c:f>Sheet4!$F$3</c:f>
              <c:strCache>
                <c:ptCount val="1"/>
                <c:pt idx="0">
                  <c:v>Sum of Chlorine (Kg)2</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Sheet4!$A$4:$A$5</c:f>
              <c:strCache>
                <c:ptCount val="1"/>
                <c:pt idx="0">
                  <c:v>Jul</c:v>
                </c:pt>
              </c:strCache>
            </c:strRef>
          </c:cat>
          <c:val>
            <c:numRef>
              <c:f>Sheet4!$F$4:$F$5</c:f>
              <c:numCache>
                <c:formatCode>General</c:formatCode>
                <c:ptCount val="1"/>
                <c:pt idx="0">
                  <c:v>24919</c:v>
                </c:pt>
              </c:numCache>
            </c:numRef>
          </c:val>
          <c:extLst>
            <c:ext xmlns:c16="http://schemas.microsoft.com/office/drawing/2014/chart" uri="{C3380CC4-5D6E-409C-BE32-E72D297353CC}">
              <c16:uniqueId val="{00000004-1CCE-43C6-8BD7-B405B5830740}"/>
            </c:ext>
          </c:extLst>
        </c:ser>
        <c:ser>
          <c:idx val="5"/>
          <c:order val="5"/>
          <c:tx>
            <c:strRef>
              <c:f>Sheet4!$G$3</c:f>
              <c:strCache>
                <c:ptCount val="1"/>
                <c:pt idx="0">
                  <c:v>Sum of B/P (Kg)2</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Sheet4!$A$4:$A$5</c:f>
              <c:strCache>
                <c:ptCount val="1"/>
                <c:pt idx="0">
                  <c:v>Jul</c:v>
                </c:pt>
              </c:strCache>
            </c:strRef>
          </c:cat>
          <c:val>
            <c:numRef>
              <c:f>Sheet4!$G$4:$G$5</c:f>
              <c:numCache>
                <c:formatCode>General</c:formatCode>
                <c:ptCount val="1"/>
                <c:pt idx="0">
                  <c:v>23950</c:v>
                </c:pt>
              </c:numCache>
            </c:numRef>
          </c:val>
          <c:extLst>
            <c:ext xmlns:c16="http://schemas.microsoft.com/office/drawing/2014/chart" uri="{C3380CC4-5D6E-409C-BE32-E72D297353CC}">
              <c16:uniqueId val="{00000005-1CCE-43C6-8BD7-B405B5830740}"/>
            </c:ext>
          </c:extLst>
        </c:ser>
        <c:ser>
          <c:idx val="6"/>
          <c:order val="6"/>
          <c:tx>
            <c:strRef>
              <c:f>Sheet4!$H$3</c:f>
              <c:strCache>
                <c:ptCount val="1"/>
                <c:pt idx="0">
                  <c:v>Sum of NaOCl (Litre)2</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Sheet4!$A$4:$A$5</c:f>
              <c:strCache>
                <c:ptCount val="1"/>
                <c:pt idx="0">
                  <c:v>Jul</c:v>
                </c:pt>
              </c:strCache>
            </c:strRef>
          </c:cat>
          <c:val>
            <c:numRef>
              <c:f>Sheet4!$H$4:$H$5</c:f>
              <c:numCache>
                <c:formatCode>General</c:formatCode>
                <c:ptCount val="1"/>
                <c:pt idx="0">
                  <c:v>10185</c:v>
                </c:pt>
              </c:numCache>
            </c:numRef>
          </c:val>
          <c:extLst>
            <c:ext xmlns:c16="http://schemas.microsoft.com/office/drawing/2014/chart" uri="{C3380CC4-5D6E-409C-BE32-E72D297353CC}">
              <c16:uniqueId val="{00000006-1CCE-43C6-8BD7-B405B5830740}"/>
            </c:ext>
          </c:extLst>
        </c:ser>
        <c:dLbls>
          <c:dLblPos val="inEnd"/>
          <c:showLegendKey val="0"/>
          <c:showVal val="1"/>
          <c:showCatName val="0"/>
          <c:showSerName val="0"/>
          <c:showPercent val="0"/>
          <c:showBubbleSize val="0"/>
        </c:dLbls>
        <c:gapWidth val="115"/>
        <c:overlap val="-20"/>
        <c:axId val="246211632"/>
        <c:axId val="246211152"/>
      </c:barChart>
      <c:catAx>
        <c:axId val="24621163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211152"/>
        <c:crosses val="autoZero"/>
        <c:auto val="1"/>
        <c:lblAlgn val="ctr"/>
        <c:lblOffset val="100"/>
        <c:noMultiLvlLbl val="0"/>
      </c:catAx>
      <c:valAx>
        <c:axId val="246211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21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[chemical consumption dashboard.xlsx]Sheet3!PivotTable35</c:name>
    <c:fmtId val="2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40008635661088"/>
          <c:y val="0.16679179915840558"/>
          <c:w val="0.59348955968642303"/>
          <c:h val="0.77465195491340277"/>
        </c:manualLayout>
      </c:layout>
      <c:barChart>
        <c:barDir val="col"/>
        <c:grouping val="clustered"/>
        <c:varyColors val="0"/>
        <c:ser>
          <c:idx val="0"/>
          <c:order val="0"/>
          <c:tx>
            <c:strRef>
              <c:f>Sheet3!$B$3</c:f>
              <c:strCache>
                <c:ptCount val="1"/>
                <c:pt idx="0">
                  <c:v>Sum of S/Alum (Kg)2</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Sheet3!$A$4:$A$5</c:f>
              <c:strCache>
                <c:ptCount val="1"/>
                <c:pt idx="0">
                  <c:v>Apr</c:v>
                </c:pt>
              </c:strCache>
            </c:strRef>
          </c:cat>
          <c:val>
            <c:numRef>
              <c:f>Sheet3!$B$4:$B$5</c:f>
              <c:numCache>
                <c:formatCode>General</c:formatCode>
                <c:ptCount val="1"/>
                <c:pt idx="0">
                  <c:v>2700</c:v>
                </c:pt>
              </c:numCache>
            </c:numRef>
          </c:val>
          <c:extLst>
            <c:ext xmlns:c16="http://schemas.microsoft.com/office/drawing/2014/chart" uri="{C3380CC4-5D6E-409C-BE32-E72D297353CC}">
              <c16:uniqueId val="{00000000-D81B-49D2-8FD1-6C7CA0CF54A3}"/>
            </c:ext>
          </c:extLst>
        </c:ser>
        <c:ser>
          <c:idx val="1"/>
          <c:order val="1"/>
          <c:tx>
            <c:strRef>
              <c:f>Sheet3!$C$3</c:f>
              <c:strCache>
                <c:ptCount val="1"/>
                <c:pt idx="0">
                  <c:v>Sum of L/Alum(Litre)2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Sheet3!$A$4:$A$5</c:f>
              <c:strCache>
                <c:ptCount val="1"/>
                <c:pt idx="0">
                  <c:v>Apr</c:v>
                </c:pt>
              </c:strCache>
            </c:strRef>
          </c:cat>
          <c:val>
            <c:numRef>
              <c:f>Sheet3!$C$4:$C$5</c:f>
              <c:numCache>
                <c:formatCode>General</c:formatCode>
                <c:ptCount val="1"/>
                <c:pt idx="0">
                  <c:v>0</c:v>
                </c:pt>
              </c:numCache>
            </c:numRef>
          </c:val>
          <c:extLst>
            <c:ext xmlns:c16="http://schemas.microsoft.com/office/drawing/2014/chart" uri="{C3380CC4-5D6E-409C-BE32-E72D297353CC}">
              <c16:uniqueId val="{00000001-D81B-49D2-8FD1-6C7CA0CF54A3}"/>
            </c:ext>
          </c:extLst>
        </c:ser>
        <c:ser>
          <c:idx val="2"/>
          <c:order val="2"/>
          <c:tx>
            <c:strRef>
              <c:f>Sheet3!$D$3</c:f>
              <c:strCache>
                <c:ptCount val="1"/>
                <c:pt idx="0">
                  <c:v>Sum of P/PAC(Kg)2</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Sheet3!$A$4:$A$5</c:f>
              <c:strCache>
                <c:ptCount val="1"/>
                <c:pt idx="0">
                  <c:v>Apr</c:v>
                </c:pt>
              </c:strCache>
            </c:strRef>
          </c:cat>
          <c:val>
            <c:numRef>
              <c:f>Sheet3!$D$4:$D$5</c:f>
              <c:numCache>
                <c:formatCode>General</c:formatCode>
                <c:ptCount val="1"/>
                <c:pt idx="0">
                  <c:v>0</c:v>
                </c:pt>
              </c:numCache>
            </c:numRef>
          </c:val>
          <c:extLst>
            <c:ext xmlns:c16="http://schemas.microsoft.com/office/drawing/2014/chart" uri="{C3380CC4-5D6E-409C-BE32-E72D297353CC}">
              <c16:uniqueId val="{00000002-D81B-49D2-8FD1-6C7CA0CF54A3}"/>
            </c:ext>
          </c:extLst>
        </c:ser>
        <c:ser>
          <c:idx val="3"/>
          <c:order val="3"/>
          <c:tx>
            <c:strRef>
              <c:f>Sheet3!$E$3</c:f>
              <c:strCache>
                <c:ptCount val="1"/>
                <c:pt idx="0">
                  <c:v>Sum of L/PAC(Litre)2</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Sheet3!$A$4:$A$5</c:f>
              <c:strCache>
                <c:ptCount val="1"/>
                <c:pt idx="0">
                  <c:v>Apr</c:v>
                </c:pt>
              </c:strCache>
            </c:strRef>
          </c:cat>
          <c:val>
            <c:numRef>
              <c:f>Sheet3!$E$4:$E$5</c:f>
              <c:numCache>
                <c:formatCode>General</c:formatCode>
                <c:ptCount val="1"/>
                <c:pt idx="0">
                  <c:v>0</c:v>
                </c:pt>
              </c:numCache>
            </c:numRef>
          </c:val>
          <c:extLst>
            <c:ext xmlns:c16="http://schemas.microsoft.com/office/drawing/2014/chart" uri="{C3380CC4-5D6E-409C-BE32-E72D297353CC}">
              <c16:uniqueId val="{00000003-D81B-49D2-8FD1-6C7CA0CF54A3}"/>
            </c:ext>
          </c:extLst>
        </c:ser>
        <c:ser>
          <c:idx val="4"/>
          <c:order val="4"/>
          <c:tx>
            <c:strRef>
              <c:f>Sheet3!$F$3</c:f>
              <c:strCache>
                <c:ptCount val="1"/>
                <c:pt idx="0">
                  <c:v>Sum of Chlorine (Kg)2</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Sheet3!$A$4:$A$5</c:f>
              <c:strCache>
                <c:ptCount val="1"/>
                <c:pt idx="0">
                  <c:v>Apr</c:v>
                </c:pt>
              </c:strCache>
            </c:strRef>
          </c:cat>
          <c:val>
            <c:numRef>
              <c:f>Sheet3!$F$4:$F$5</c:f>
              <c:numCache>
                <c:formatCode>General</c:formatCode>
                <c:ptCount val="1"/>
                <c:pt idx="0">
                  <c:v>664</c:v>
                </c:pt>
              </c:numCache>
            </c:numRef>
          </c:val>
          <c:extLst>
            <c:ext xmlns:c16="http://schemas.microsoft.com/office/drawing/2014/chart" uri="{C3380CC4-5D6E-409C-BE32-E72D297353CC}">
              <c16:uniqueId val="{00000004-D81B-49D2-8FD1-6C7CA0CF54A3}"/>
            </c:ext>
          </c:extLst>
        </c:ser>
        <c:ser>
          <c:idx val="5"/>
          <c:order val="5"/>
          <c:tx>
            <c:strRef>
              <c:f>Sheet3!$G$3</c:f>
              <c:strCache>
                <c:ptCount val="1"/>
                <c:pt idx="0">
                  <c:v>Sum of B/P (Kg)2</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Sheet3!$A$4:$A$5</c:f>
              <c:strCache>
                <c:ptCount val="1"/>
                <c:pt idx="0">
                  <c:v>Apr</c:v>
                </c:pt>
              </c:strCache>
            </c:strRef>
          </c:cat>
          <c:val>
            <c:numRef>
              <c:f>Sheet3!$G$4:$G$5</c:f>
              <c:numCache>
                <c:formatCode>General</c:formatCode>
                <c:ptCount val="1"/>
                <c:pt idx="0">
                  <c:v>950</c:v>
                </c:pt>
              </c:numCache>
            </c:numRef>
          </c:val>
          <c:extLst>
            <c:ext xmlns:c16="http://schemas.microsoft.com/office/drawing/2014/chart" uri="{C3380CC4-5D6E-409C-BE32-E72D297353CC}">
              <c16:uniqueId val="{00000005-D81B-49D2-8FD1-6C7CA0CF54A3}"/>
            </c:ext>
          </c:extLst>
        </c:ser>
        <c:ser>
          <c:idx val="6"/>
          <c:order val="6"/>
          <c:tx>
            <c:strRef>
              <c:f>Sheet3!$H$3</c:f>
              <c:strCache>
                <c:ptCount val="1"/>
                <c:pt idx="0">
                  <c:v>Sum of NaOCl (Litre)2</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Sheet3!$A$4:$A$5</c:f>
              <c:strCache>
                <c:ptCount val="1"/>
                <c:pt idx="0">
                  <c:v>Apr</c:v>
                </c:pt>
              </c:strCache>
            </c:strRef>
          </c:cat>
          <c:val>
            <c:numRef>
              <c:f>Sheet3!$H$4:$H$5</c:f>
              <c:numCache>
                <c:formatCode>General</c:formatCode>
                <c:ptCount val="1"/>
                <c:pt idx="0">
                  <c:v>0</c:v>
                </c:pt>
              </c:numCache>
            </c:numRef>
          </c:val>
          <c:extLst>
            <c:ext xmlns:c16="http://schemas.microsoft.com/office/drawing/2014/chart" uri="{C3380CC4-5D6E-409C-BE32-E72D297353CC}">
              <c16:uniqueId val="{00000006-D81B-49D2-8FD1-6C7CA0CF54A3}"/>
            </c:ext>
          </c:extLst>
        </c:ser>
        <c:dLbls>
          <c:dLblPos val="outEnd"/>
          <c:showLegendKey val="0"/>
          <c:showVal val="1"/>
          <c:showCatName val="0"/>
          <c:showSerName val="0"/>
          <c:showPercent val="0"/>
          <c:showBubbleSize val="0"/>
        </c:dLbls>
        <c:gapWidth val="219"/>
        <c:overlap val="-27"/>
        <c:axId val="923506863"/>
        <c:axId val="923509263"/>
      </c:barChart>
      <c:catAx>
        <c:axId val="92350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509263"/>
        <c:crosses val="autoZero"/>
        <c:auto val="1"/>
        <c:lblAlgn val="ctr"/>
        <c:lblOffset val="100"/>
        <c:noMultiLvlLbl val="0"/>
      </c:catAx>
      <c:valAx>
        <c:axId val="923509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2350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[chemical consumption dashboard.xlsx]Sheet8!PivotTable2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AE-4A77-B776-9CBA00A5B9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AE-4A77-B776-9CBA00A5B9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AE-4A77-B776-9CBA00A5B9C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0AE-4A77-B776-9CBA00A5B9C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0AE-4A77-B776-9CBA00A5B9C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0AE-4A77-B776-9CBA00A5B9C2}"/>
              </c:ext>
            </c:extLst>
          </c:dPt>
          <c:dPt>
            <c:idx val="6"/>
            <c:bubble3D val="0"/>
            <c:spPr>
              <a:solidFill>
                <a:schemeClr val="accent1">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Sheet8!$A$4:$A$11</c:f>
              <c:strCache>
                <c:ptCount val="7"/>
                <c:pt idx="0">
                  <c:v>B/P</c:v>
                </c:pt>
                <c:pt idx="1">
                  <c:v>Chlorine</c:v>
                </c:pt>
                <c:pt idx="2">
                  <c:v>L/Alum</c:v>
                </c:pt>
                <c:pt idx="3">
                  <c:v>L/PAC</c:v>
                </c:pt>
                <c:pt idx="4">
                  <c:v>NaOCl</c:v>
                </c:pt>
                <c:pt idx="5">
                  <c:v>P/PAC</c:v>
                </c:pt>
                <c:pt idx="6">
                  <c:v>S/Alum</c:v>
                </c:pt>
              </c:strCache>
            </c:strRef>
          </c:cat>
          <c:val>
            <c:numRef>
              <c:f>Sheet8!$B$4:$B$11</c:f>
              <c:numCache>
                <c:formatCode>General</c:formatCode>
                <c:ptCount val="7"/>
                <c:pt idx="0">
                  <c:v>96050</c:v>
                </c:pt>
                <c:pt idx="1">
                  <c:v>139593</c:v>
                </c:pt>
                <c:pt idx="2">
                  <c:v>609976</c:v>
                </c:pt>
                <c:pt idx="3">
                  <c:v>280581</c:v>
                </c:pt>
                <c:pt idx="4">
                  <c:v>22410</c:v>
                </c:pt>
                <c:pt idx="5">
                  <c:v>73750</c:v>
                </c:pt>
                <c:pt idx="6">
                  <c:v>293152</c:v>
                </c:pt>
              </c:numCache>
            </c:numRef>
          </c:val>
          <c:extLst>
            <c:ext xmlns:c16="http://schemas.microsoft.com/office/drawing/2014/chart" uri="{C3380CC4-5D6E-409C-BE32-E72D297353CC}">
              <c16:uniqueId val="{0000000C-00AE-4A77-B776-9CBA00A5B9C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[chemical consumption dashboard.xlsx]Sheet3!PivotTable35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125573471355624E-2"/>
          <c:y val="0.15522938273492512"/>
          <c:w val="0.59348955968642303"/>
          <c:h val="0.77465195491340277"/>
        </c:manualLayout>
      </c:layout>
      <c:barChart>
        <c:barDir val="col"/>
        <c:grouping val="clustered"/>
        <c:varyColors val="0"/>
        <c:ser>
          <c:idx val="0"/>
          <c:order val="0"/>
          <c:tx>
            <c:strRef>
              <c:f>Sheet3!$B$3</c:f>
              <c:strCache>
                <c:ptCount val="1"/>
                <c:pt idx="0">
                  <c:v>Sum of S/Alum (Kg)2</c:v>
                </c:pt>
              </c:strCache>
            </c:strRef>
          </c:tx>
          <c:spPr>
            <a:solidFill>
              <a:schemeClr val="accent1"/>
            </a:solidFill>
            <a:ln>
              <a:noFill/>
            </a:ln>
            <a:effectLst/>
          </c:spPr>
          <c:invertIfNegative val="0"/>
          <c:cat>
            <c:strRef>
              <c:f>Sheet3!$A$4:$A$5</c:f>
              <c:strCache>
                <c:ptCount val="1"/>
                <c:pt idx="0">
                  <c:v>Apr</c:v>
                </c:pt>
              </c:strCache>
            </c:strRef>
          </c:cat>
          <c:val>
            <c:numRef>
              <c:f>Sheet3!$B$4:$B$5</c:f>
              <c:numCache>
                <c:formatCode>General</c:formatCode>
                <c:ptCount val="1"/>
                <c:pt idx="0">
                  <c:v>2700</c:v>
                </c:pt>
              </c:numCache>
            </c:numRef>
          </c:val>
          <c:extLst>
            <c:ext xmlns:c16="http://schemas.microsoft.com/office/drawing/2014/chart" uri="{C3380CC4-5D6E-409C-BE32-E72D297353CC}">
              <c16:uniqueId val="{00000000-2640-46AB-97CC-096A5CE1126F}"/>
            </c:ext>
          </c:extLst>
        </c:ser>
        <c:ser>
          <c:idx val="1"/>
          <c:order val="1"/>
          <c:tx>
            <c:strRef>
              <c:f>Sheet3!$C$3</c:f>
              <c:strCache>
                <c:ptCount val="1"/>
                <c:pt idx="0">
                  <c:v>Sum of L/Alum(Litre)2</c:v>
                </c:pt>
              </c:strCache>
            </c:strRef>
          </c:tx>
          <c:spPr>
            <a:solidFill>
              <a:schemeClr val="accent2"/>
            </a:solidFill>
            <a:ln>
              <a:noFill/>
            </a:ln>
            <a:effectLst/>
          </c:spPr>
          <c:invertIfNegative val="0"/>
          <c:cat>
            <c:strRef>
              <c:f>Sheet3!$A$4:$A$5</c:f>
              <c:strCache>
                <c:ptCount val="1"/>
                <c:pt idx="0">
                  <c:v>Apr</c:v>
                </c:pt>
              </c:strCache>
            </c:strRef>
          </c:cat>
          <c:val>
            <c:numRef>
              <c:f>Sheet3!$C$4:$C$5</c:f>
              <c:numCache>
                <c:formatCode>General</c:formatCode>
                <c:ptCount val="1"/>
                <c:pt idx="0">
                  <c:v>0</c:v>
                </c:pt>
              </c:numCache>
            </c:numRef>
          </c:val>
          <c:extLst>
            <c:ext xmlns:c16="http://schemas.microsoft.com/office/drawing/2014/chart" uri="{C3380CC4-5D6E-409C-BE32-E72D297353CC}">
              <c16:uniqueId val="{00000001-2640-46AB-97CC-096A5CE1126F}"/>
            </c:ext>
          </c:extLst>
        </c:ser>
        <c:ser>
          <c:idx val="2"/>
          <c:order val="2"/>
          <c:tx>
            <c:strRef>
              <c:f>Sheet3!$D$3</c:f>
              <c:strCache>
                <c:ptCount val="1"/>
                <c:pt idx="0">
                  <c:v>Sum of P/PAC(Kg)2</c:v>
                </c:pt>
              </c:strCache>
            </c:strRef>
          </c:tx>
          <c:spPr>
            <a:solidFill>
              <a:schemeClr val="accent3"/>
            </a:solidFill>
            <a:ln>
              <a:noFill/>
            </a:ln>
            <a:effectLst/>
          </c:spPr>
          <c:invertIfNegative val="0"/>
          <c:cat>
            <c:strRef>
              <c:f>Sheet3!$A$4:$A$5</c:f>
              <c:strCache>
                <c:ptCount val="1"/>
                <c:pt idx="0">
                  <c:v>Apr</c:v>
                </c:pt>
              </c:strCache>
            </c:strRef>
          </c:cat>
          <c:val>
            <c:numRef>
              <c:f>Sheet3!$D$4:$D$5</c:f>
              <c:numCache>
                <c:formatCode>General</c:formatCode>
                <c:ptCount val="1"/>
                <c:pt idx="0">
                  <c:v>0</c:v>
                </c:pt>
              </c:numCache>
            </c:numRef>
          </c:val>
          <c:extLst>
            <c:ext xmlns:c16="http://schemas.microsoft.com/office/drawing/2014/chart" uri="{C3380CC4-5D6E-409C-BE32-E72D297353CC}">
              <c16:uniqueId val="{00000009-2640-46AB-97CC-096A5CE1126F}"/>
            </c:ext>
          </c:extLst>
        </c:ser>
        <c:ser>
          <c:idx val="3"/>
          <c:order val="3"/>
          <c:tx>
            <c:strRef>
              <c:f>Sheet3!$E$3</c:f>
              <c:strCache>
                <c:ptCount val="1"/>
                <c:pt idx="0">
                  <c:v>Sum of L/PAC(Litre)2</c:v>
                </c:pt>
              </c:strCache>
            </c:strRef>
          </c:tx>
          <c:spPr>
            <a:solidFill>
              <a:schemeClr val="accent4"/>
            </a:solidFill>
            <a:ln>
              <a:noFill/>
            </a:ln>
            <a:effectLst/>
          </c:spPr>
          <c:invertIfNegative val="0"/>
          <c:cat>
            <c:strRef>
              <c:f>Sheet3!$A$4:$A$5</c:f>
              <c:strCache>
                <c:ptCount val="1"/>
                <c:pt idx="0">
                  <c:v>Apr</c:v>
                </c:pt>
              </c:strCache>
            </c:strRef>
          </c:cat>
          <c:val>
            <c:numRef>
              <c:f>Sheet3!$E$4:$E$5</c:f>
              <c:numCache>
                <c:formatCode>General</c:formatCode>
                <c:ptCount val="1"/>
                <c:pt idx="0">
                  <c:v>0</c:v>
                </c:pt>
              </c:numCache>
            </c:numRef>
          </c:val>
          <c:extLst>
            <c:ext xmlns:c16="http://schemas.microsoft.com/office/drawing/2014/chart" uri="{C3380CC4-5D6E-409C-BE32-E72D297353CC}">
              <c16:uniqueId val="{0000000A-2640-46AB-97CC-096A5CE1126F}"/>
            </c:ext>
          </c:extLst>
        </c:ser>
        <c:ser>
          <c:idx val="4"/>
          <c:order val="4"/>
          <c:tx>
            <c:strRef>
              <c:f>Sheet3!$F$3</c:f>
              <c:strCache>
                <c:ptCount val="1"/>
                <c:pt idx="0">
                  <c:v>Sum of Chlorine (Kg)2</c:v>
                </c:pt>
              </c:strCache>
            </c:strRef>
          </c:tx>
          <c:spPr>
            <a:solidFill>
              <a:schemeClr val="accent5"/>
            </a:solidFill>
            <a:ln>
              <a:noFill/>
            </a:ln>
            <a:effectLst/>
          </c:spPr>
          <c:invertIfNegative val="0"/>
          <c:cat>
            <c:strRef>
              <c:f>Sheet3!$A$4:$A$5</c:f>
              <c:strCache>
                <c:ptCount val="1"/>
                <c:pt idx="0">
                  <c:v>Apr</c:v>
                </c:pt>
              </c:strCache>
            </c:strRef>
          </c:cat>
          <c:val>
            <c:numRef>
              <c:f>Sheet3!$F$4:$F$5</c:f>
              <c:numCache>
                <c:formatCode>General</c:formatCode>
                <c:ptCount val="1"/>
                <c:pt idx="0">
                  <c:v>664</c:v>
                </c:pt>
              </c:numCache>
            </c:numRef>
          </c:val>
          <c:extLst>
            <c:ext xmlns:c16="http://schemas.microsoft.com/office/drawing/2014/chart" uri="{C3380CC4-5D6E-409C-BE32-E72D297353CC}">
              <c16:uniqueId val="{0000000C-2640-46AB-97CC-096A5CE1126F}"/>
            </c:ext>
          </c:extLst>
        </c:ser>
        <c:ser>
          <c:idx val="5"/>
          <c:order val="5"/>
          <c:tx>
            <c:strRef>
              <c:f>Sheet3!$G$3</c:f>
              <c:strCache>
                <c:ptCount val="1"/>
                <c:pt idx="0">
                  <c:v>Sum of B/P (Kg)2</c:v>
                </c:pt>
              </c:strCache>
            </c:strRef>
          </c:tx>
          <c:spPr>
            <a:solidFill>
              <a:schemeClr val="accent6"/>
            </a:solidFill>
            <a:ln>
              <a:noFill/>
            </a:ln>
            <a:effectLst/>
          </c:spPr>
          <c:invertIfNegative val="0"/>
          <c:cat>
            <c:strRef>
              <c:f>Sheet3!$A$4:$A$5</c:f>
              <c:strCache>
                <c:ptCount val="1"/>
                <c:pt idx="0">
                  <c:v>Apr</c:v>
                </c:pt>
              </c:strCache>
            </c:strRef>
          </c:cat>
          <c:val>
            <c:numRef>
              <c:f>Sheet3!$G$4:$G$5</c:f>
              <c:numCache>
                <c:formatCode>General</c:formatCode>
                <c:ptCount val="1"/>
                <c:pt idx="0">
                  <c:v>950</c:v>
                </c:pt>
              </c:numCache>
            </c:numRef>
          </c:val>
          <c:extLst>
            <c:ext xmlns:c16="http://schemas.microsoft.com/office/drawing/2014/chart" uri="{C3380CC4-5D6E-409C-BE32-E72D297353CC}">
              <c16:uniqueId val="{00000010-2640-46AB-97CC-096A5CE1126F}"/>
            </c:ext>
          </c:extLst>
        </c:ser>
        <c:ser>
          <c:idx val="6"/>
          <c:order val="6"/>
          <c:tx>
            <c:strRef>
              <c:f>Sheet3!$H$3</c:f>
              <c:strCache>
                <c:ptCount val="1"/>
                <c:pt idx="0">
                  <c:v>Sum of NaOCl (Litre)2</c:v>
                </c:pt>
              </c:strCache>
            </c:strRef>
          </c:tx>
          <c:spPr>
            <a:solidFill>
              <a:schemeClr val="accent1">
                <a:lumMod val="60000"/>
              </a:schemeClr>
            </a:solidFill>
            <a:ln>
              <a:noFill/>
            </a:ln>
            <a:effectLst/>
          </c:spPr>
          <c:invertIfNegative val="0"/>
          <c:cat>
            <c:strRef>
              <c:f>Sheet3!$A$4:$A$5</c:f>
              <c:strCache>
                <c:ptCount val="1"/>
                <c:pt idx="0">
                  <c:v>Apr</c:v>
                </c:pt>
              </c:strCache>
            </c:strRef>
          </c:cat>
          <c:val>
            <c:numRef>
              <c:f>Sheet3!$H$4:$H$5</c:f>
              <c:numCache>
                <c:formatCode>General</c:formatCode>
                <c:ptCount val="1"/>
                <c:pt idx="0">
                  <c:v>0</c:v>
                </c:pt>
              </c:numCache>
            </c:numRef>
          </c:val>
          <c:extLst>
            <c:ext xmlns:c16="http://schemas.microsoft.com/office/drawing/2014/chart" uri="{C3380CC4-5D6E-409C-BE32-E72D297353CC}">
              <c16:uniqueId val="{00000011-2640-46AB-97CC-096A5CE1126F}"/>
            </c:ext>
          </c:extLst>
        </c:ser>
        <c:dLbls>
          <c:showLegendKey val="0"/>
          <c:showVal val="0"/>
          <c:showCatName val="0"/>
          <c:showSerName val="0"/>
          <c:showPercent val="0"/>
          <c:showBubbleSize val="0"/>
        </c:dLbls>
        <c:gapWidth val="219"/>
        <c:overlap val="-27"/>
        <c:axId val="923506863"/>
        <c:axId val="923509263"/>
      </c:barChart>
      <c:catAx>
        <c:axId val="923506863"/>
        <c:scaling>
          <c:orientation val="minMax"/>
        </c:scaling>
        <c:delete val="1"/>
        <c:axPos val="b"/>
        <c:numFmt formatCode="General" sourceLinked="1"/>
        <c:majorTickMark val="out"/>
        <c:minorTickMark val="none"/>
        <c:tickLblPos val="nextTo"/>
        <c:crossAx val="923509263"/>
        <c:crosses val="autoZero"/>
        <c:auto val="1"/>
        <c:lblAlgn val="ctr"/>
        <c:lblOffset val="100"/>
        <c:noMultiLvlLbl val="0"/>
      </c:catAx>
      <c:valAx>
        <c:axId val="9235092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50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[chemical consumption dashboard.xlsx]Sheet4!PivotTable32</c:name>
    <c:fmtId val="2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x"/>
          <c:size val="5"/>
          <c:spPr>
            <a:no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tar"/>
          <c:size val="5"/>
          <c:spPr>
            <a:no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plus"/>
          <c:size val="5"/>
          <c:spPr>
            <a:no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61840427948622"/>
          <c:y val="2.2765586435757714E-3"/>
          <c:w val="0.57553504429823865"/>
          <c:h val="0.87798565492108049"/>
        </c:manualLayout>
      </c:layout>
      <c:barChart>
        <c:barDir val="bar"/>
        <c:grouping val="clustered"/>
        <c:varyColors val="0"/>
        <c:ser>
          <c:idx val="0"/>
          <c:order val="0"/>
          <c:tx>
            <c:strRef>
              <c:f>Sheet4!$B$3</c:f>
              <c:strCache>
                <c:ptCount val="1"/>
                <c:pt idx="0">
                  <c:v>Sum of S/Alum (Kg)2</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Sheet4!$A$4:$A$5</c:f>
              <c:strCache>
                <c:ptCount val="1"/>
                <c:pt idx="0">
                  <c:v>Jul</c:v>
                </c:pt>
              </c:strCache>
            </c:strRef>
          </c:cat>
          <c:val>
            <c:numRef>
              <c:f>Sheet4!$B$4:$B$5</c:f>
              <c:numCache>
                <c:formatCode>General</c:formatCode>
                <c:ptCount val="1"/>
                <c:pt idx="0">
                  <c:v>35110</c:v>
                </c:pt>
              </c:numCache>
            </c:numRef>
          </c:val>
          <c:extLst>
            <c:ext xmlns:c16="http://schemas.microsoft.com/office/drawing/2014/chart" uri="{C3380CC4-5D6E-409C-BE32-E72D297353CC}">
              <c16:uniqueId val="{00000000-6775-4C8C-8D1B-4DE4380CAA2C}"/>
            </c:ext>
          </c:extLst>
        </c:ser>
        <c:ser>
          <c:idx val="1"/>
          <c:order val="1"/>
          <c:tx>
            <c:strRef>
              <c:f>Sheet4!$C$3</c:f>
              <c:strCache>
                <c:ptCount val="1"/>
                <c:pt idx="0">
                  <c:v>Sum of L/Alum(Litre)2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Sheet4!$A$4:$A$5</c:f>
              <c:strCache>
                <c:ptCount val="1"/>
                <c:pt idx="0">
                  <c:v>Jul</c:v>
                </c:pt>
              </c:strCache>
            </c:strRef>
          </c:cat>
          <c:val>
            <c:numRef>
              <c:f>Sheet4!$C$4:$C$5</c:f>
              <c:numCache>
                <c:formatCode>General</c:formatCode>
                <c:ptCount val="1"/>
                <c:pt idx="0">
                  <c:v>50623</c:v>
                </c:pt>
              </c:numCache>
            </c:numRef>
          </c:val>
          <c:extLst>
            <c:ext xmlns:c16="http://schemas.microsoft.com/office/drawing/2014/chart" uri="{C3380CC4-5D6E-409C-BE32-E72D297353CC}">
              <c16:uniqueId val="{00000001-6775-4C8C-8D1B-4DE4380CAA2C}"/>
            </c:ext>
          </c:extLst>
        </c:ser>
        <c:ser>
          <c:idx val="2"/>
          <c:order val="2"/>
          <c:tx>
            <c:strRef>
              <c:f>Sheet4!$D$3</c:f>
              <c:strCache>
                <c:ptCount val="1"/>
                <c:pt idx="0">
                  <c:v>Sum of P/PAC(Kg)2</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Sheet4!$A$4:$A$5</c:f>
              <c:strCache>
                <c:ptCount val="1"/>
                <c:pt idx="0">
                  <c:v>Jul</c:v>
                </c:pt>
              </c:strCache>
            </c:strRef>
          </c:cat>
          <c:val>
            <c:numRef>
              <c:f>Sheet4!$D$4:$D$5</c:f>
              <c:numCache>
                <c:formatCode>General</c:formatCode>
                <c:ptCount val="1"/>
                <c:pt idx="0">
                  <c:v>23600</c:v>
                </c:pt>
              </c:numCache>
            </c:numRef>
          </c:val>
          <c:extLst>
            <c:ext xmlns:c16="http://schemas.microsoft.com/office/drawing/2014/chart" uri="{C3380CC4-5D6E-409C-BE32-E72D297353CC}">
              <c16:uniqueId val="{00000002-6775-4C8C-8D1B-4DE4380CAA2C}"/>
            </c:ext>
          </c:extLst>
        </c:ser>
        <c:ser>
          <c:idx val="3"/>
          <c:order val="3"/>
          <c:tx>
            <c:strRef>
              <c:f>Sheet4!$E$3</c:f>
              <c:strCache>
                <c:ptCount val="1"/>
                <c:pt idx="0">
                  <c:v>Sum of L/PAC(Litre)2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Sheet4!$A$4:$A$5</c:f>
              <c:strCache>
                <c:ptCount val="1"/>
                <c:pt idx="0">
                  <c:v>Jul</c:v>
                </c:pt>
              </c:strCache>
            </c:strRef>
          </c:cat>
          <c:val>
            <c:numRef>
              <c:f>Sheet4!$E$4:$E$5</c:f>
              <c:numCache>
                <c:formatCode>General</c:formatCode>
                <c:ptCount val="1"/>
                <c:pt idx="0">
                  <c:v>61834</c:v>
                </c:pt>
              </c:numCache>
            </c:numRef>
          </c:val>
          <c:extLst>
            <c:ext xmlns:c16="http://schemas.microsoft.com/office/drawing/2014/chart" uri="{C3380CC4-5D6E-409C-BE32-E72D297353CC}">
              <c16:uniqueId val="{00000003-6775-4C8C-8D1B-4DE4380CAA2C}"/>
            </c:ext>
          </c:extLst>
        </c:ser>
        <c:ser>
          <c:idx val="4"/>
          <c:order val="4"/>
          <c:tx>
            <c:strRef>
              <c:f>Sheet4!$F$3</c:f>
              <c:strCache>
                <c:ptCount val="1"/>
                <c:pt idx="0">
                  <c:v>Sum of Chlorine (Kg)2</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Sheet4!$A$4:$A$5</c:f>
              <c:strCache>
                <c:ptCount val="1"/>
                <c:pt idx="0">
                  <c:v>Jul</c:v>
                </c:pt>
              </c:strCache>
            </c:strRef>
          </c:cat>
          <c:val>
            <c:numRef>
              <c:f>Sheet4!$F$4:$F$5</c:f>
              <c:numCache>
                <c:formatCode>General</c:formatCode>
                <c:ptCount val="1"/>
                <c:pt idx="0">
                  <c:v>24919</c:v>
                </c:pt>
              </c:numCache>
            </c:numRef>
          </c:val>
          <c:extLst>
            <c:ext xmlns:c16="http://schemas.microsoft.com/office/drawing/2014/chart" uri="{C3380CC4-5D6E-409C-BE32-E72D297353CC}">
              <c16:uniqueId val="{00000004-6775-4C8C-8D1B-4DE4380CAA2C}"/>
            </c:ext>
          </c:extLst>
        </c:ser>
        <c:ser>
          <c:idx val="5"/>
          <c:order val="5"/>
          <c:tx>
            <c:strRef>
              <c:f>Sheet4!$G$3</c:f>
              <c:strCache>
                <c:ptCount val="1"/>
                <c:pt idx="0">
                  <c:v>Sum of B/P (Kg)2</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Sheet4!$A$4:$A$5</c:f>
              <c:strCache>
                <c:ptCount val="1"/>
                <c:pt idx="0">
                  <c:v>Jul</c:v>
                </c:pt>
              </c:strCache>
            </c:strRef>
          </c:cat>
          <c:val>
            <c:numRef>
              <c:f>Sheet4!$G$4:$G$5</c:f>
              <c:numCache>
                <c:formatCode>General</c:formatCode>
                <c:ptCount val="1"/>
                <c:pt idx="0">
                  <c:v>23950</c:v>
                </c:pt>
              </c:numCache>
            </c:numRef>
          </c:val>
          <c:extLst>
            <c:ext xmlns:c16="http://schemas.microsoft.com/office/drawing/2014/chart" uri="{C3380CC4-5D6E-409C-BE32-E72D297353CC}">
              <c16:uniqueId val="{00000005-6775-4C8C-8D1B-4DE4380CAA2C}"/>
            </c:ext>
          </c:extLst>
        </c:ser>
        <c:ser>
          <c:idx val="6"/>
          <c:order val="6"/>
          <c:tx>
            <c:strRef>
              <c:f>Sheet4!$H$3</c:f>
              <c:strCache>
                <c:ptCount val="1"/>
                <c:pt idx="0">
                  <c:v>Sum of NaOCl (Litre)2</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Sheet4!$A$4:$A$5</c:f>
              <c:strCache>
                <c:ptCount val="1"/>
                <c:pt idx="0">
                  <c:v>Jul</c:v>
                </c:pt>
              </c:strCache>
            </c:strRef>
          </c:cat>
          <c:val>
            <c:numRef>
              <c:f>Sheet4!$H$4:$H$5</c:f>
              <c:numCache>
                <c:formatCode>General</c:formatCode>
                <c:ptCount val="1"/>
                <c:pt idx="0">
                  <c:v>10185</c:v>
                </c:pt>
              </c:numCache>
            </c:numRef>
          </c:val>
          <c:extLst>
            <c:ext xmlns:c16="http://schemas.microsoft.com/office/drawing/2014/chart" uri="{C3380CC4-5D6E-409C-BE32-E72D297353CC}">
              <c16:uniqueId val="{00000006-6775-4C8C-8D1B-4DE4380CAA2C}"/>
            </c:ext>
          </c:extLst>
        </c:ser>
        <c:dLbls>
          <c:dLblPos val="inEnd"/>
          <c:showLegendKey val="0"/>
          <c:showVal val="1"/>
          <c:showCatName val="0"/>
          <c:showSerName val="0"/>
          <c:showPercent val="0"/>
          <c:showBubbleSize val="0"/>
        </c:dLbls>
        <c:gapWidth val="115"/>
        <c:overlap val="-20"/>
        <c:axId val="246211632"/>
        <c:axId val="246211152"/>
      </c:barChart>
      <c:catAx>
        <c:axId val="24621163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211152"/>
        <c:crosses val="autoZero"/>
        <c:auto val="1"/>
        <c:lblAlgn val="ctr"/>
        <c:lblOffset val="100"/>
        <c:noMultiLvlLbl val="0"/>
      </c:catAx>
      <c:valAx>
        <c:axId val="246211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621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[chemical consumption dashboard.xlsx]Sheet2!PivotTable37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Sheet2!$E$6</c:f>
              <c:strCache>
                <c:ptCount val="1"/>
                <c:pt idx="0">
                  <c:v>Sum of S/Alum (Kg)</c:v>
                </c:pt>
              </c:strCache>
            </c:strRef>
          </c:tx>
          <c:spPr>
            <a:solidFill>
              <a:schemeClr val="accent1"/>
            </a:solidFill>
            <a:ln>
              <a:noFill/>
            </a:ln>
            <a:effectLst/>
          </c:spPr>
          <c:invertIfNegative val="0"/>
          <c:cat>
            <c:strRef>
              <c:f>Sheet2!$E$7</c:f>
              <c:strCache>
                <c:ptCount val="1"/>
                <c:pt idx="0">
                  <c:v>Total</c:v>
                </c:pt>
              </c:strCache>
            </c:strRef>
          </c:cat>
          <c:val>
            <c:numRef>
              <c:f>Sheet2!$E$7</c:f>
              <c:numCache>
                <c:formatCode>General</c:formatCode>
                <c:ptCount val="1"/>
                <c:pt idx="0">
                  <c:v>293152</c:v>
                </c:pt>
              </c:numCache>
            </c:numRef>
          </c:val>
          <c:extLst>
            <c:ext xmlns:c16="http://schemas.microsoft.com/office/drawing/2014/chart" uri="{C3380CC4-5D6E-409C-BE32-E72D297353CC}">
              <c16:uniqueId val="{00000000-1CB2-495B-A00F-1052390C5D72}"/>
            </c:ext>
          </c:extLst>
        </c:ser>
        <c:ser>
          <c:idx val="1"/>
          <c:order val="1"/>
          <c:tx>
            <c:strRef>
              <c:f>Sheet2!$F$6</c:f>
              <c:strCache>
                <c:ptCount val="1"/>
                <c:pt idx="0">
                  <c:v>Sum of L/Alum(Litre)</c:v>
                </c:pt>
              </c:strCache>
            </c:strRef>
          </c:tx>
          <c:spPr>
            <a:solidFill>
              <a:schemeClr val="accent2"/>
            </a:solidFill>
            <a:ln>
              <a:noFill/>
            </a:ln>
            <a:effectLst/>
          </c:spPr>
          <c:invertIfNegative val="0"/>
          <c:cat>
            <c:strRef>
              <c:f>Sheet2!$E$7</c:f>
              <c:strCache>
                <c:ptCount val="1"/>
                <c:pt idx="0">
                  <c:v>Total</c:v>
                </c:pt>
              </c:strCache>
            </c:strRef>
          </c:cat>
          <c:val>
            <c:numRef>
              <c:f>Sheet2!$F$7</c:f>
              <c:numCache>
                <c:formatCode>General</c:formatCode>
                <c:ptCount val="1"/>
                <c:pt idx="0">
                  <c:v>609976</c:v>
                </c:pt>
              </c:numCache>
            </c:numRef>
          </c:val>
          <c:extLst>
            <c:ext xmlns:c16="http://schemas.microsoft.com/office/drawing/2014/chart" uri="{C3380CC4-5D6E-409C-BE32-E72D297353CC}">
              <c16:uniqueId val="{00000001-1CB2-495B-A00F-1052390C5D72}"/>
            </c:ext>
          </c:extLst>
        </c:ser>
        <c:ser>
          <c:idx val="2"/>
          <c:order val="2"/>
          <c:tx>
            <c:strRef>
              <c:f>Sheet2!$G$6</c:f>
              <c:strCache>
                <c:ptCount val="1"/>
                <c:pt idx="0">
                  <c:v>Sum of P/PAC(Kg)</c:v>
                </c:pt>
              </c:strCache>
            </c:strRef>
          </c:tx>
          <c:spPr>
            <a:solidFill>
              <a:schemeClr val="accent3"/>
            </a:solidFill>
            <a:ln>
              <a:noFill/>
            </a:ln>
            <a:effectLst/>
          </c:spPr>
          <c:invertIfNegative val="0"/>
          <c:cat>
            <c:strRef>
              <c:f>Sheet2!$E$7</c:f>
              <c:strCache>
                <c:ptCount val="1"/>
                <c:pt idx="0">
                  <c:v>Total</c:v>
                </c:pt>
              </c:strCache>
            </c:strRef>
          </c:cat>
          <c:val>
            <c:numRef>
              <c:f>Sheet2!$G$7</c:f>
              <c:numCache>
                <c:formatCode>General</c:formatCode>
                <c:ptCount val="1"/>
                <c:pt idx="0">
                  <c:v>73750</c:v>
                </c:pt>
              </c:numCache>
            </c:numRef>
          </c:val>
          <c:extLst>
            <c:ext xmlns:c16="http://schemas.microsoft.com/office/drawing/2014/chart" uri="{C3380CC4-5D6E-409C-BE32-E72D297353CC}">
              <c16:uniqueId val="{00000002-1CB2-495B-A00F-1052390C5D72}"/>
            </c:ext>
          </c:extLst>
        </c:ser>
        <c:ser>
          <c:idx val="3"/>
          <c:order val="3"/>
          <c:tx>
            <c:strRef>
              <c:f>Sheet2!$H$6</c:f>
              <c:strCache>
                <c:ptCount val="1"/>
                <c:pt idx="0">
                  <c:v>Sum of L/PAC(Litre)</c:v>
                </c:pt>
              </c:strCache>
            </c:strRef>
          </c:tx>
          <c:spPr>
            <a:solidFill>
              <a:schemeClr val="accent4"/>
            </a:solidFill>
            <a:ln>
              <a:noFill/>
            </a:ln>
            <a:effectLst/>
          </c:spPr>
          <c:invertIfNegative val="0"/>
          <c:cat>
            <c:strRef>
              <c:f>Sheet2!$E$7</c:f>
              <c:strCache>
                <c:ptCount val="1"/>
                <c:pt idx="0">
                  <c:v>Total</c:v>
                </c:pt>
              </c:strCache>
            </c:strRef>
          </c:cat>
          <c:val>
            <c:numRef>
              <c:f>Sheet2!$H$7</c:f>
              <c:numCache>
                <c:formatCode>General</c:formatCode>
                <c:ptCount val="1"/>
                <c:pt idx="0">
                  <c:v>280581</c:v>
                </c:pt>
              </c:numCache>
            </c:numRef>
          </c:val>
          <c:extLst>
            <c:ext xmlns:c16="http://schemas.microsoft.com/office/drawing/2014/chart" uri="{C3380CC4-5D6E-409C-BE32-E72D297353CC}">
              <c16:uniqueId val="{00000003-1CB2-495B-A00F-1052390C5D72}"/>
            </c:ext>
          </c:extLst>
        </c:ser>
        <c:ser>
          <c:idx val="4"/>
          <c:order val="4"/>
          <c:tx>
            <c:strRef>
              <c:f>Sheet2!$I$6</c:f>
              <c:strCache>
                <c:ptCount val="1"/>
                <c:pt idx="0">
                  <c:v>Sum of Chlorine (Kg)</c:v>
                </c:pt>
              </c:strCache>
            </c:strRef>
          </c:tx>
          <c:spPr>
            <a:solidFill>
              <a:schemeClr val="accent5"/>
            </a:solidFill>
            <a:ln>
              <a:noFill/>
            </a:ln>
            <a:effectLst/>
          </c:spPr>
          <c:invertIfNegative val="0"/>
          <c:cat>
            <c:strRef>
              <c:f>Sheet2!$E$7</c:f>
              <c:strCache>
                <c:ptCount val="1"/>
                <c:pt idx="0">
                  <c:v>Total</c:v>
                </c:pt>
              </c:strCache>
            </c:strRef>
          </c:cat>
          <c:val>
            <c:numRef>
              <c:f>Sheet2!$I$7</c:f>
              <c:numCache>
                <c:formatCode>General</c:formatCode>
                <c:ptCount val="1"/>
                <c:pt idx="0">
                  <c:v>140481</c:v>
                </c:pt>
              </c:numCache>
            </c:numRef>
          </c:val>
          <c:extLst>
            <c:ext xmlns:c16="http://schemas.microsoft.com/office/drawing/2014/chart" uri="{C3380CC4-5D6E-409C-BE32-E72D297353CC}">
              <c16:uniqueId val="{00000004-1CB2-495B-A00F-1052390C5D72}"/>
            </c:ext>
          </c:extLst>
        </c:ser>
        <c:ser>
          <c:idx val="5"/>
          <c:order val="5"/>
          <c:tx>
            <c:strRef>
              <c:f>Sheet2!$J$6</c:f>
              <c:strCache>
                <c:ptCount val="1"/>
                <c:pt idx="0">
                  <c:v>Sum of B/P (Kg)</c:v>
                </c:pt>
              </c:strCache>
            </c:strRef>
          </c:tx>
          <c:spPr>
            <a:solidFill>
              <a:schemeClr val="accent6"/>
            </a:solidFill>
            <a:ln>
              <a:noFill/>
            </a:ln>
            <a:effectLst/>
          </c:spPr>
          <c:invertIfNegative val="0"/>
          <c:cat>
            <c:strRef>
              <c:f>Sheet2!$E$7</c:f>
              <c:strCache>
                <c:ptCount val="1"/>
                <c:pt idx="0">
                  <c:v>Total</c:v>
                </c:pt>
              </c:strCache>
            </c:strRef>
          </c:cat>
          <c:val>
            <c:numRef>
              <c:f>Sheet2!$J$7</c:f>
              <c:numCache>
                <c:formatCode>General</c:formatCode>
                <c:ptCount val="1"/>
                <c:pt idx="0">
                  <c:v>97350</c:v>
                </c:pt>
              </c:numCache>
            </c:numRef>
          </c:val>
          <c:extLst>
            <c:ext xmlns:c16="http://schemas.microsoft.com/office/drawing/2014/chart" uri="{C3380CC4-5D6E-409C-BE32-E72D297353CC}">
              <c16:uniqueId val="{00000005-1CB2-495B-A00F-1052390C5D72}"/>
            </c:ext>
          </c:extLst>
        </c:ser>
        <c:ser>
          <c:idx val="6"/>
          <c:order val="6"/>
          <c:tx>
            <c:strRef>
              <c:f>Sheet2!$K$6</c:f>
              <c:strCache>
                <c:ptCount val="1"/>
                <c:pt idx="0">
                  <c:v>Sum of NaOCl (Litre)</c:v>
                </c:pt>
              </c:strCache>
            </c:strRef>
          </c:tx>
          <c:spPr>
            <a:solidFill>
              <a:schemeClr val="accent1">
                <a:lumMod val="60000"/>
              </a:schemeClr>
            </a:solidFill>
            <a:ln>
              <a:noFill/>
            </a:ln>
            <a:effectLst/>
          </c:spPr>
          <c:invertIfNegative val="0"/>
          <c:cat>
            <c:strRef>
              <c:f>Sheet2!$E$7</c:f>
              <c:strCache>
                <c:ptCount val="1"/>
                <c:pt idx="0">
                  <c:v>Total</c:v>
                </c:pt>
              </c:strCache>
            </c:strRef>
          </c:cat>
          <c:val>
            <c:numRef>
              <c:f>Sheet2!$K$7</c:f>
              <c:numCache>
                <c:formatCode>General</c:formatCode>
                <c:ptCount val="1"/>
                <c:pt idx="0">
                  <c:v>22680</c:v>
                </c:pt>
              </c:numCache>
            </c:numRef>
          </c:val>
          <c:extLst>
            <c:ext xmlns:c16="http://schemas.microsoft.com/office/drawing/2014/chart" uri="{C3380CC4-5D6E-409C-BE32-E72D297353CC}">
              <c16:uniqueId val="{00000007-1CB2-495B-A00F-1052390C5D72}"/>
            </c:ext>
          </c:extLst>
        </c:ser>
        <c:dLbls>
          <c:showLegendKey val="0"/>
          <c:showVal val="0"/>
          <c:showCatName val="0"/>
          <c:showSerName val="0"/>
          <c:showPercent val="0"/>
          <c:showBubbleSize val="0"/>
        </c:dLbls>
        <c:gapWidth val="219"/>
        <c:overlap val="-27"/>
        <c:axId val="172873648"/>
        <c:axId val="172879408"/>
      </c:barChart>
      <c:catAx>
        <c:axId val="17287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79408"/>
        <c:crosses val="autoZero"/>
        <c:auto val="1"/>
        <c:lblAlgn val="ctr"/>
        <c:lblOffset val="100"/>
        <c:noMultiLvlLbl val="0"/>
      </c:catAx>
      <c:valAx>
        <c:axId val="17287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7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[chemical consumption dashboard.xlsx]Sheet8!PivotTable2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Sheet8!$A$4:$A$11</c:f>
              <c:strCache>
                <c:ptCount val="7"/>
                <c:pt idx="0">
                  <c:v>B/P</c:v>
                </c:pt>
                <c:pt idx="1">
                  <c:v>Chlorine</c:v>
                </c:pt>
                <c:pt idx="2">
                  <c:v>L/Alum</c:v>
                </c:pt>
                <c:pt idx="3">
                  <c:v>L/PAC</c:v>
                </c:pt>
                <c:pt idx="4">
                  <c:v>NaOCl</c:v>
                </c:pt>
                <c:pt idx="5">
                  <c:v>P/PAC</c:v>
                </c:pt>
                <c:pt idx="6">
                  <c:v>S/Alum</c:v>
                </c:pt>
              </c:strCache>
            </c:strRef>
          </c:cat>
          <c:val>
            <c:numRef>
              <c:f>Sheet8!$B$4:$B$11</c:f>
              <c:numCache>
                <c:formatCode>General</c:formatCode>
                <c:ptCount val="7"/>
                <c:pt idx="0">
                  <c:v>96050</c:v>
                </c:pt>
                <c:pt idx="1">
                  <c:v>139593</c:v>
                </c:pt>
                <c:pt idx="2">
                  <c:v>609976</c:v>
                </c:pt>
                <c:pt idx="3">
                  <c:v>280581</c:v>
                </c:pt>
                <c:pt idx="4">
                  <c:v>22410</c:v>
                </c:pt>
                <c:pt idx="5">
                  <c:v>73750</c:v>
                </c:pt>
                <c:pt idx="6">
                  <c:v>293152</c:v>
                </c:pt>
              </c:numCache>
            </c:numRef>
          </c:val>
          <c:extLst>
            <c:ext xmlns:c16="http://schemas.microsoft.com/office/drawing/2014/chart" uri="{C3380CC4-5D6E-409C-BE32-E72D297353CC}">
              <c16:uniqueId val="{00000000-148E-40AC-88F3-5D65E5F05FB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32</xdr:col>
      <xdr:colOff>495300</xdr:colOff>
      <xdr:row>2</xdr:row>
      <xdr:rowOff>0</xdr:rowOff>
    </xdr:to>
    <xdr:sp macro="" textlink="">
      <xdr:nvSpPr>
        <xdr:cNvPr id="2" name="TextBox 1">
          <a:extLst>
            <a:ext uri="{FF2B5EF4-FFF2-40B4-BE49-F238E27FC236}">
              <a16:creationId xmlns:a16="http://schemas.microsoft.com/office/drawing/2014/main" id="{92CC6AEF-4406-1716-AD2A-EDF16F84D690}"/>
            </a:ext>
          </a:extLst>
        </xdr:cNvPr>
        <xdr:cNvSpPr txBox="1"/>
      </xdr:nvSpPr>
      <xdr:spPr>
        <a:xfrm>
          <a:off x="0" y="0"/>
          <a:ext cx="24879300" cy="36576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b="1" baseline="0"/>
            <a:t>                                                                                                                       </a:t>
          </a:r>
          <a:r>
            <a:rPr lang="en-IN" sz="2400" b="1"/>
            <a:t>Chemical Consumption Data 2023</a:t>
          </a:r>
        </a:p>
      </xdr:txBody>
    </xdr:sp>
    <xdr:clientData/>
  </xdr:twoCellAnchor>
  <xdr:twoCellAnchor>
    <xdr:from>
      <xdr:col>16</xdr:col>
      <xdr:colOff>128953</xdr:colOff>
      <xdr:row>3</xdr:row>
      <xdr:rowOff>39701</xdr:rowOff>
    </xdr:from>
    <xdr:to>
      <xdr:col>27</xdr:col>
      <xdr:colOff>370939</xdr:colOff>
      <xdr:row>35</xdr:row>
      <xdr:rowOff>15486</xdr:rowOff>
    </xdr:to>
    <xdr:graphicFrame macro="">
      <xdr:nvGraphicFramePr>
        <xdr:cNvPr id="3" name="Chart 2">
          <a:extLst>
            <a:ext uri="{FF2B5EF4-FFF2-40B4-BE49-F238E27FC236}">
              <a16:creationId xmlns:a16="http://schemas.microsoft.com/office/drawing/2014/main" id="{DD606468-51A1-4432-8674-0C1C48038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379223</xdr:colOff>
      <xdr:row>35</xdr:row>
      <xdr:rowOff>97696</xdr:rowOff>
    </xdr:from>
    <xdr:to>
      <xdr:col>25</xdr:col>
      <xdr:colOff>387220</xdr:colOff>
      <xdr:row>41</xdr:row>
      <xdr:rowOff>97697</xdr:rowOff>
    </xdr:to>
    <mc:AlternateContent xmlns:mc="http://schemas.openxmlformats.org/markup-compatibility/2006">
      <mc:Choice xmlns:a14="http://schemas.microsoft.com/office/drawing/2010/main" Requires="a14">
        <xdr:graphicFrame macro="">
          <xdr:nvGraphicFramePr>
            <xdr:cNvPr id="5" name="Months (Date)">
              <a:extLst>
                <a:ext uri="{FF2B5EF4-FFF2-40B4-BE49-F238E27FC236}">
                  <a16:creationId xmlns:a16="http://schemas.microsoft.com/office/drawing/2014/main" id="{E0DF3886-3E55-45F5-8648-5E6CA49D20BC}"/>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16310885" y="6662619"/>
              <a:ext cx="4275197" cy="11254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91689</xdr:rowOff>
    </xdr:from>
    <xdr:to>
      <xdr:col>7</xdr:col>
      <xdr:colOff>602777</xdr:colOff>
      <xdr:row>31</xdr:row>
      <xdr:rowOff>30209</xdr:rowOff>
    </xdr:to>
    <mc:AlternateContent xmlns:mc="http://schemas.openxmlformats.org/markup-compatibility/2006" xmlns:a14="http://schemas.microsoft.com/office/drawing/2010/main">
      <mc:Choice Requires="a14">
        <xdr:graphicFrame macro="">
          <xdr:nvGraphicFramePr>
            <xdr:cNvPr id="10" name="Date">
              <a:extLst>
                <a:ext uri="{FF2B5EF4-FFF2-40B4-BE49-F238E27FC236}">
                  <a16:creationId xmlns:a16="http://schemas.microsoft.com/office/drawing/2014/main" id="{9CD14C5A-619C-803A-3BAA-78D16D1F6FA7}"/>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0" y="4030643"/>
              <a:ext cx="9113731" cy="18142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xdr:row>
      <xdr:rowOff>11906</xdr:rowOff>
    </xdr:from>
    <xdr:to>
      <xdr:col>7</xdr:col>
      <xdr:colOff>614150</xdr:colOff>
      <xdr:row>21</xdr:row>
      <xdr:rowOff>92392</xdr:rowOff>
    </xdr:to>
    <xdr:graphicFrame macro="">
      <xdr:nvGraphicFramePr>
        <xdr:cNvPr id="11" name="Chart 10">
          <a:extLst>
            <a:ext uri="{FF2B5EF4-FFF2-40B4-BE49-F238E27FC236}">
              <a16:creationId xmlns:a16="http://schemas.microsoft.com/office/drawing/2014/main" id="{4BF5DEC3-2CD5-48CF-AE18-0FEAAFB9F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11373</xdr:colOff>
      <xdr:row>32</xdr:row>
      <xdr:rowOff>11373</xdr:rowOff>
    </xdr:from>
    <xdr:to>
      <xdr:col>7</xdr:col>
      <xdr:colOff>1319284</xdr:colOff>
      <xdr:row>34</xdr:row>
      <xdr:rowOff>11372</xdr:rowOff>
    </xdr:to>
    <xdr:sp macro="" textlink="">
      <xdr:nvSpPr>
        <xdr:cNvPr id="13" name="TextBox 12">
          <a:extLst>
            <a:ext uri="{FF2B5EF4-FFF2-40B4-BE49-F238E27FC236}">
              <a16:creationId xmlns:a16="http://schemas.microsoft.com/office/drawing/2014/main" id="{B58215D4-2685-0405-F7B9-8433F79FE7F8}"/>
            </a:ext>
          </a:extLst>
        </xdr:cNvPr>
        <xdr:cNvSpPr txBox="1"/>
      </xdr:nvSpPr>
      <xdr:spPr>
        <a:xfrm>
          <a:off x="11373" y="5834418"/>
          <a:ext cx="9815015" cy="363939"/>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                                                           </a:t>
          </a:r>
          <a:r>
            <a:rPr lang="en-IN" sz="1800" b="1" baseline="0"/>
            <a:t>     </a:t>
          </a:r>
          <a:r>
            <a:rPr lang="en-IN" sz="1800" b="1"/>
            <a:t> Chemical Consumption Data</a:t>
          </a:r>
        </a:p>
      </xdr:txBody>
    </xdr:sp>
    <xdr:clientData/>
  </xdr:twoCellAnchor>
  <xdr:twoCellAnchor>
    <xdr:from>
      <xdr:col>7</xdr:col>
      <xdr:colOff>1137138</xdr:colOff>
      <xdr:row>7</xdr:row>
      <xdr:rowOff>128951</xdr:rowOff>
    </xdr:from>
    <xdr:to>
      <xdr:col>15</xdr:col>
      <xdr:colOff>222738</xdr:colOff>
      <xdr:row>26</xdr:row>
      <xdr:rowOff>105507</xdr:rowOff>
    </xdr:to>
    <xdr:graphicFrame macro="">
      <xdr:nvGraphicFramePr>
        <xdr:cNvPr id="4" name="Chart 3">
          <a:extLst>
            <a:ext uri="{FF2B5EF4-FFF2-40B4-BE49-F238E27FC236}">
              <a16:creationId xmlns:a16="http://schemas.microsoft.com/office/drawing/2014/main" id="{868DC211-2297-4634-B282-97327482F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398583</xdr:colOff>
      <xdr:row>27</xdr:row>
      <xdr:rowOff>35169</xdr:rowOff>
    </xdr:from>
    <xdr:to>
      <xdr:col>14</xdr:col>
      <xdr:colOff>398583</xdr:colOff>
      <xdr:row>33</xdr:row>
      <xdr:rowOff>14653</xdr:rowOff>
    </xdr:to>
    <mc:AlternateContent xmlns:mc="http://schemas.openxmlformats.org/markup-compatibility/2006">
      <mc:Choice xmlns:a14="http://schemas.microsoft.com/office/drawing/2010/main" Requires="a14">
        <xdr:graphicFrame macro="">
          <xdr:nvGraphicFramePr>
            <xdr:cNvPr id="6" name="Chemicals  1">
              <a:extLst>
                <a:ext uri="{FF2B5EF4-FFF2-40B4-BE49-F238E27FC236}">
                  <a16:creationId xmlns:a16="http://schemas.microsoft.com/office/drawing/2014/main" id="{43F54F46-3383-46D6-B527-C881A2D1FF85}"/>
                </a:ext>
              </a:extLst>
            </xdr:cNvPr>
            <xdr:cNvGraphicFramePr/>
          </xdr:nvGraphicFramePr>
          <xdr:xfrm>
            <a:off x="0" y="0"/>
            <a:ext cx="0" cy="0"/>
          </xdr:xfrm>
          <a:graphic>
            <a:graphicData uri="http://schemas.microsoft.com/office/drawing/2010/slicer">
              <sle:slicer xmlns:sle="http://schemas.microsoft.com/office/drawing/2010/slicer" name="Chemicals  1"/>
            </a:graphicData>
          </a:graphic>
        </xdr:graphicFrame>
      </mc:Choice>
      <mc:Fallback>
        <xdr:sp macro="" textlink="">
          <xdr:nvSpPr>
            <xdr:cNvPr id="0" name=""/>
            <xdr:cNvSpPr>
              <a:spLocks noTextEdit="1"/>
            </xdr:cNvSpPr>
          </xdr:nvSpPr>
          <xdr:spPr>
            <a:xfrm>
              <a:off x="10234245" y="5099538"/>
              <a:ext cx="365760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0.009</cdr:x>
      <cdr:y>0.02562</cdr:y>
    </cdr:from>
    <cdr:to>
      <cdr:x>0.98873</cdr:x>
      <cdr:y>0.08769</cdr:y>
    </cdr:to>
    <cdr:sp macro="" textlink="">
      <cdr:nvSpPr>
        <cdr:cNvPr id="2" name="TextBox 1">
          <a:extLst xmlns:a="http://schemas.openxmlformats.org/drawingml/2006/main">
            <a:ext uri="{FF2B5EF4-FFF2-40B4-BE49-F238E27FC236}">
              <a16:creationId xmlns:a16="http://schemas.microsoft.com/office/drawing/2014/main" id="{8E824F1C-4FB4-9ABF-D637-4932089D4A1D}"/>
            </a:ext>
          </a:extLst>
        </cdr:cNvPr>
        <cdr:cNvSpPr txBox="1"/>
      </cdr:nvSpPr>
      <cdr:spPr>
        <a:xfrm xmlns:a="http://schemas.openxmlformats.org/drawingml/2006/main">
          <a:off x="70883" y="116026"/>
          <a:ext cx="7716175" cy="28112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0.01182</cdr:x>
      <cdr:y>0.02399</cdr:y>
    </cdr:from>
    <cdr:to>
      <cdr:x>0.98403</cdr:x>
      <cdr:y>0.09259</cdr:y>
    </cdr:to>
    <cdr:sp macro="" textlink="">
      <cdr:nvSpPr>
        <cdr:cNvPr id="3" name="TextBox 2">
          <a:extLst xmlns:a="http://schemas.openxmlformats.org/drawingml/2006/main">
            <a:ext uri="{FF2B5EF4-FFF2-40B4-BE49-F238E27FC236}">
              <a16:creationId xmlns:a16="http://schemas.microsoft.com/office/drawing/2014/main" id="{F5F4CDD2-1D95-30DE-DCB8-926C4EEE5399}"/>
            </a:ext>
          </a:extLst>
        </cdr:cNvPr>
        <cdr:cNvSpPr txBox="1"/>
      </cdr:nvSpPr>
      <cdr:spPr>
        <a:xfrm xmlns:a="http://schemas.openxmlformats.org/drawingml/2006/main">
          <a:off x="93077" y="108628"/>
          <a:ext cx="7656990" cy="3107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cdr:x>
      <cdr:y>0</cdr:y>
    </cdr:from>
    <cdr:to>
      <cdr:x>0.99851</cdr:x>
      <cdr:y>0.10111</cdr:y>
    </cdr:to>
    <cdr:sp macro="" textlink="">
      <cdr:nvSpPr>
        <cdr:cNvPr id="4" name="Rectangle 3">
          <a:extLst xmlns:a="http://schemas.openxmlformats.org/drawingml/2006/main">
            <a:ext uri="{FF2B5EF4-FFF2-40B4-BE49-F238E27FC236}">
              <a16:creationId xmlns:a16="http://schemas.microsoft.com/office/drawing/2014/main" id="{A14B08E7-A03D-A6B4-9B01-2E920B107EA8}"/>
            </a:ext>
          </a:extLst>
        </cdr:cNvPr>
        <cdr:cNvSpPr/>
      </cdr:nvSpPr>
      <cdr:spPr>
        <a:xfrm xmlns:a="http://schemas.openxmlformats.org/drawingml/2006/main">
          <a:off x="0" y="0"/>
          <a:ext cx="7426314" cy="604435"/>
        </a:xfrm>
        <a:prstGeom xmlns:a="http://schemas.openxmlformats.org/drawingml/2006/main" prst="rect">
          <a:avLst/>
        </a:prstGeom>
        <a:solidFill xmlns:a="http://schemas.openxmlformats.org/drawingml/2006/main">
          <a:schemeClr val="accent2">
            <a:lumMod val="60000"/>
            <a:lumOff val="4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1800">
              <a:solidFill>
                <a:sysClr val="windowText" lastClr="000000"/>
              </a:solidFill>
            </a:rPr>
            <a:t>             </a:t>
          </a:r>
          <a:r>
            <a:rPr lang="en-US" sz="1800" b="1">
              <a:solidFill>
                <a:sysClr val="windowText" lastClr="000000"/>
              </a:solidFill>
            </a:rPr>
            <a:t>Monthly Chemical Consumption Data Anslysis</a:t>
          </a:r>
        </a:p>
      </cdr:txBody>
    </cdr:sp>
  </cdr:relSizeAnchor>
</c:userShapes>
</file>

<file path=xl/drawings/drawing3.xml><?xml version="1.0" encoding="utf-8"?>
<c:userShapes xmlns:c="http://schemas.openxmlformats.org/drawingml/2006/chart">
  <cdr:relSizeAnchor xmlns:cdr="http://schemas.openxmlformats.org/drawingml/2006/chartDrawing">
    <cdr:from>
      <cdr:x>0.00167</cdr:x>
      <cdr:y>0</cdr:y>
    </cdr:from>
    <cdr:to>
      <cdr:x>1</cdr:x>
      <cdr:y>0.10932</cdr:y>
    </cdr:to>
    <cdr:sp macro="" textlink="">
      <cdr:nvSpPr>
        <cdr:cNvPr id="2" name="Rectangle 1">
          <a:extLst xmlns:a="http://schemas.openxmlformats.org/drawingml/2006/main">
            <a:ext uri="{FF2B5EF4-FFF2-40B4-BE49-F238E27FC236}">
              <a16:creationId xmlns:a16="http://schemas.microsoft.com/office/drawing/2014/main" id="{7DD2ACCA-8369-7C06-6A8F-26A46B830D20}"/>
            </a:ext>
          </a:extLst>
        </cdr:cNvPr>
        <cdr:cNvSpPr/>
      </cdr:nvSpPr>
      <cdr:spPr>
        <a:xfrm xmlns:a="http://schemas.openxmlformats.org/drawingml/2006/main">
          <a:off x="7595" y="0"/>
          <a:ext cx="4549165" cy="257414"/>
        </a:xfrm>
        <a:prstGeom xmlns:a="http://schemas.openxmlformats.org/drawingml/2006/main" prst="rect">
          <a:avLst/>
        </a:prstGeom>
        <a:solidFill xmlns:a="http://schemas.openxmlformats.org/drawingml/2006/main">
          <a:schemeClr val="accent2">
            <a:lumMod val="60000"/>
            <a:lumOff val="4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b="1">
              <a:solidFill>
                <a:sysClr val="windowText" lastClr="000000"/>
              </a:solidFill>
            </a:rPr>
            <a:t>         </a:t>
          </a:r>
          <a:r>
            <a:rPr lang="en-US" b="1" baseline="0">
              <a:solidFill>
                <a:sysClr val="windowText" lastClr="000000"/>
              </a:solidFill>
            </a:rPr>
            <a:t>                                                        </a:t>
          </a:r>
          <a:r>
            <a:rPr lang="en-US" sz="1800" b="1" baseline="0">
              <a:solidFill>
                <a:sysClr val="windowText" lastClr="000000"/>
              </a:solidFill>
            </a:rPr>
            <a:t>Chemical Consumption (08/04/2023 - 31/10/2023)  </a:t>
          </a:r>
          <a:endParaRPr lang="en-US" sz="1800" b="1">
            <a:solidFill>
              <a:sysClr val="windowText" lastClr="000000"/>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cdr:x>
      <cdr:y>0.00429</cdr:y>
    </cdr:from>
    <cdr:to>
      <cdr:x>1</cdr:x>
      <cdr:y>0.19284</cdr:y>
    </cdr:to>
    <cdr:sp macro="" textlink="">
      <cdr:nvSpPr>
        <cdr:cNvPr id="2" name="Rectangle 1">
          <a:extLst xmlns:a="http://schemas.openxmlformats.org/drawingml/2006/main">
            <a:ext uri="{FF2B5EF4-FFF2-40B4-BE49-F238E27FC236}">
              <a16:creationId xmlns:a16="http://schemas.microsoft.com/office/drawing/2014/main" id="{C53CA345-F759-B0BC-552A-605DF0269317}"/>
            </a:ext>
          </a:extLst>
        </cdr:cNvPr>
        <cdr:cNvSpPr/>
      </cdr:nvSpPr>
      <cdr:spPr>
        <a:xfrm xmlns:a="http://schemas.openxmlformats.org/drawingml/2006/main">
          <a:off x="0" y="11725"/>
          <a:ext cx="4572000" cy="515815"/>
        </a:xfrm>
        <a:prstGeom xmlns:a="http://schemas.openxmlformats.org/drawingml/2006/main" prst="rect">
          <a:avLst/>
        </a:prstGeom>
        <a:solidFill xmlns:a="http://schemas.openxmlformats.org/drawingml/2006/main">
          <a:schemeClr val="accent2">
            <a:lumMod val="60000"/>
            <a:lumOff val="4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1800" b="1">
              <a:solidFill>
                <a:schemeClr val="tx1"/>
              </a:solidFill>
              <a:effectLst/>
              <a:latin typeface="+mn-lt"/>
              <a:ea typeface="+mn-ea"/>
              <a:cs typeface="+mn-cs"/>
            </a:rPr>
            <a:t>Chemical Consumption Data Anslysis</a:t>
          </a:r>
          <a:endParaRPr lang="en-US" sz="1800">
            <a:solidFill>
              <a:schemeClr val="tx1"/>
            </a:solidFill>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12</xdr:col>
      <xdr:colOff>176156</xdr:colOff>
      <xdr:row>12</xdr:row>
      <xdr:rowOff>12551</xdr:rowOff>
    </xdr:from>
    <xdr:to>
      <xdr:col>20</xdr:col>
      <xdr:colOff>562087</xdr:colOff>
      <xdr:row>24</xdr:row>
      <xdr:rowOff>168985</xdr:rowOff>
    </xdr:to>
    <xdr:graphicFrame macro="">
      <xdr:nvGraphicFramePr>
        <xdr:cNvPr id="2" name="Chart 1">
          <a:extLst>
            <a:ext uri="{FF2B5EF4-FFF2-40B4-BE49-F238E27FC236}">
              <a16:creationId xmlns:a16="http://schemas.microsoft.com/office/drawing/2014/main" id="{B835FDC1-F5E7-DC86-F136-78BE1E5C0A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56028</xdr:colOff>
      <xdr:row>3</xdr:row>
      <xdr:rowOff>134919</xdr:rowOff>
    </xdr:from>
    <xdr:to>
      <xdr:col>19</xdr:col>
      <xdr:colOff>313766</xdr:colOff>
      <xdr:row>12</xdr:row>
      <xdr:rowOff>134471</xdr:rowOff>
    </xdr:to>
    <mc:AlternateContent xmlns:mc="http://schemas.openxmlformats.org/markup-compatibility/2006" xmlns:a14="http://schemas.microsoft.com/office/drawing/2010/main">
      <mc:Choice Requires="a14">
        <xdr:graphicFrame macro="">
          <xdr:nvGraphicFramePr>
            <xdr:cNvPr id="4" name="Date 1">
              <a:extLst>
                <a:ext uri="{FF2B5EF4-FFF2-40B4-BE49-F238E27FC236}">
                  <a16:creationId xmlns:a16="http://schemas.microsoft.com/office/drawing/2014/main" id="{4BF92C6C-A74C-796B-6AE2-B16ABA0673A0}"/>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12315263" y="672801"/>
              <a:ext cx="5098679" cy="1613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392206</xdr:colOff>
      <xdr:row>5</xdr:row>
      <xdr:rowOff>11206</xdr:rowOff>
    </xdr:from>
    <xdr:to>
      <xdr:col>6</xdr:col>
      <xdr:colOff>981370</xdr:colOff>
      <xdr:row>37</xdr:row>
      <xdr:rowOff>78224</xdr:rowOff>
    </xdr:to>
    <xdr:graphicFrame macro="">
      <xdr:nvGraphicFramePr>
        <xdr:cNvPr id="5" name="Chart 4">
          <a:extLst>
            <a:ext uri="{FF2B5EF4-FFF2-40B4-BE49-F238E27FC236}">
              <a16:creationId xmlns:a16="http://schemas.microsoft.com/office/drawing/2014/main" id="{802B092F-7B3A-478D-BA11-ECBFF7A6FF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1422251</xdr:colOff>
      <xdr:row>13</xdr:row>
      <xdr:rowOff>160916</xdr:rowOff>
    </xdr:from>
    <xdr:to>
      <xdr:col>11</xdr:col>
      <xdr:colOff>1345</xdr:colOff>
      <xdr:row>27</xdr:row>
      <xdr:rowOff>117774</xdr:rowOff>
    </xdr:to>
    <mc:AlternateContent xmlns:mc="http://schemas.openxmlformats.org/markup-compatibility/2006" xmlns:a14="http://schemas.microsoft.com/office/drawing/2010/main">
      <mc:Choice Requires="a14">
        <xdr:graphicFrame macro="">
          <xdr:nvGraphicFramePr>
            <xdr:cNvPr id="13" name="S/Alum (Kg)2">
              <a:extLst>
                <a:ext uri="{FF2B5EF4-FFF2-40B4-BE49-F238E27FC236}">
                  <a16:creationId xmlns:a16="http://schemas.microsoft.com/office/drawing/2014/main" id="{1D27824A-813F-0D7C-63BB-08295D181748}"/>
                </a:ext>
              </a:extLst>
            </xdr:cNvPr>
            <xdr:cNvGraphicFramePr/>
          </xdr:nvGraphicFramePr>
          <xdr:xfrm>
            <a:off x="0" y="0"/>
            <a:ext cx="0" cy="0"/>
          </xdr:xfrm>
          <a:graphic>
            <a:graphicData uri="http://schemas.microsoft.com/office/drawing/2010/slicer">
              <sle:slicer xmlns:sle="http://schemas.microsoft.com/office/drawing/2010/slicer" name="S/Alum (Kg)2"/>
            </a:graphicData>
          </a:graphic>
        </xdr:graphicFrame>
      </mc:Choice>
      <mc:Fallback xmlns="">
        <xdr:sp macro="" textlink="">
          <xdr:nvSpPr>
            <xdr:cNvPr id="0" name=""/>
            <xdr:cNvSpPr>
              <a:spLocks noTextEdit="1"/>
            </xdr:cNvSpPr>
          </xdr:nvSpPr>
          <xdr:spPr>
            <a:xfrm>
              <a:off x="10431780" y="2491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1409253</xdr:colOff>
      <xdr:row>29</xdr:row>
      <xdr:rowOff>103094</xdr:rowOff>
    </xdr:from>
    <xdr:to>
      <xdr:col>10</xdr:col>
      <xdr:colOff>593464</xdr:colOff>
      <xdr:row>43</xdr:row>
      <xdr:rowOff>59951</xdr:rowOff>
    </xdr:to>
    <mc:AlternateContent xmlns:mc="http://schemas.openxmlformats.org/markup-compatibility/2006" xmlns:a14="http://schemas.microsoft.com/office/drawing/2010/main">
      <mc:Choice Requires="a14">
        <xdr:graphicFrame macro="">
          <xdr:nvGraphicFramePr>
            <xdr:cNvPr id="14" name="L/Alum(Litre)2">
              <a:extLst>
                <a:ext uri="{FF2B5EF4-FFF2-40B4-BE49-F238E27FC236}">
                  <a16:creationId xmlns:a16="http://schemas.microsoft.com/office/drawing/2014/main" id="{3112143C-95E6-6B99-260C-5D6E8BEF0BA1}"/>
                </a:ext>
              </a:extLst>
            </xdr:cNvPr>
            <xdr:cNvGraphicFramePr/>
          </xdr:nvGraphicFramePr>
          <xdr:xfrm>
            <a:off x="0" y="0"/>
            <a:ext cx="0" cy="0"/>
          </xdr:xfrm>
          <a:graphic>
            <a:graphicData uri="http://schemas.microsoft.com/office/drawing/2010/slicer">
              <sle:slicer xmlns:sle="http://schemas.microsoft.com/office/drawing/2010/slicer" name="L/Alum(Litre)2"/>
            </a:graphicData>
          </a:graphic>
        </xdr:graphicFrame>
      </mc:Choice>
      <mc:Fallback xmlns="">
        <xdr:sp macro="" textlink="">
          <xdr:nvSpPr>
            <xdr:cNvPr id="0" name=""/>
            <xdr:cNvSpPr>
              <a:spLocks noTextEdit="1"/>
            </xdr:cNvSpPr>
          </xdr:nvSpPr>
          <xdr:spPr>
            <a:xfrm>
              <a:off x="10418782" y="530262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c:userShapes xmlns:c="http://schemas.openxmlformats.org/drawingml/2006/chart">
  <cdr:relSizeAnchor xmlns:cdr="http://schemas.openxmlformats.org/drawingml/2006/chartDrawing">
    <cdr:from>
      <cdr:x>0.00167</cdr:x>
      <cdr:y>0</cdr:y>
    </cdr:from>
    <cdr:to>
      <cdr:x>1</cdr:x>
      <cdr:y>0.10932</cdr:y>
    </cdr:to>
    <cdr:sp macro="" textlink="">
      <cdr:nvSpPr>
        <cdr:cNvPr id="2" name="Rectangle 1">
          <a:extLst xmlns:a="http://schemas.openxmlformats.org/drawingml/2006/main">
            <a:ext uri="{FF2B5EF4-FFF2-40B4-BE49-F238E27FC236}">
              <a16:creationId xmlns:a16="http://schemas.microsoft.com/office/drawing/2014/main" id="{7DD2ACCA-8369-7C06-6A8F-26A46B830D20}"/>
            </a:ext>
          </a:extLst>
        </cdr:cNvPr>
        <cdr:cNvSpPr/>
      </cdr:nvSpPr>
      <cdr:spPr>
        <a:xfrm xmlns:a="http://schemas.openxmlformats.org/drawingml/2006/main">
          <a:off x="7595" y="0"/>
          <a:ext cx="4549165" cy="257414"/>
        </a:xfrm>
        <a:prstGeom xmlns:a="http://schemas.openxmlformats.org/drawingml/2006/main" prst="rect">
          <a:avLst/>
        </a:prstGeom>
        <a:solidFill xmlns:a="http://schemas.openxmlformats.org/drawingml/2006/main">
          <a:schemeClr val="bg1">
            <a:lumMod val="85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b="1">
              <a:solidFill>
                <a:sysClr val="windowText" lastClr="000000"/>
              </a:solidFill>
            </a:rPr>
            <a:t>         </a:t>
          </a:r>
          <a:r>
            <a:rPr lang="en-US" b="1" baseline="0">
              <a:solidFill>
                <a:sysClr val="windowText" lastClr="000000"/>
              </a:solidFill>
            </a:rPr>
            <a:t>                Chemical Consumption (08/04/2023 - 31/10/2023) </a:t>
          </a:r>
          <a:endParaRPr lang="en-US" b="1">
            <a:solidFill>
              <a:sysClr val="windowText" lastClr="000000"/>
            </a:solidFill>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0.009</cdr:x>
      <cdr:y>0.02562</cdr:y>
    </cdr:from>
    <cdr:to>
      <cdr:x>0.98873</cdr:x>
      <cdr:y>0.08769</cdr:y>
    </cdr:to>
    <cdr:sp macro="" textlink="">
      <cdr:nvSpPr>
        <cdr:cNvPr id="2" name="TextBox 1">
          <a:extLst xmlns:a="http://schemas.openxmlformats.org/drawingml/2006/main">
            <a:ext uri="{FF2B5EF4-FFF2-40B4-BE49-F238E27FC236}">
              <a16:creationId xmlns:a16="http://schemas.microsoft.com/office/drawing/2014/main" id="{8E824F1C-4FB4-9ABF-D637-4932089D4A1D}"/>
            </a:ext>
          </a:extLst>
        </cdr:cNvPr>
        <cdr:cNvSpPr txBox="1"/>
      </cdr:nvSpPr>
      <cdr:spPr>
        <a:xfrm xmlns:a="http://schemas.openxmlformats.org/drawingml/2006/main">
          <a:off x="70883" y="116026"/>
          <a:ext cx="7716175" cy="28112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0.01182</cdr:x>
      <cdr:y>0.02399</cdr:y>
    </cdr:from>
    <cdr:to>
      <cdr:x>0.98403</cdr:x>
      <cdr:y>0.09259</cdr:y>
    </cdr:to>
    <cdr:sp macro="" textlink="">
      <cdr:nvSpPr>
        <cdr:cNvPr id="3" name="TextBox 2">
          <a:extLst xmlns:a="http://schemas.openxmlformats.org/drawingml/2006/main">
            <a:ext uri="{FF2B5EF4-FFF2-40B4-BE49-F238E27FC236}">
              <a16:creationId xmlns:a16="http://schemas.microsoft.com/office/drawing/2014/main" id="{F5F4CDD2-1D95-30DE-DCB8-926C4EEE5399}"/>
            </a:ext>
          </a:extLst>
        </cdr:cNvPr>
        <cdr:cNvSpPr txBox="1"/>
      </cdr:nvSpPr>
      <cdr:spPr>
        <a:xfrm xmlns:a="http://schemas.openxmlformats.org/drawingml/2006/main">
          <a:off x="93077" y="108628"/>
          <a:ext cx="7656990" cy="3107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0.00149</cdr:x>
      <cdr:y>1.72282E-7</cdr:y>
    </cdr:from>
    <cdr:to>
      <cdr:x>1</cdr:x>
      <cdr:y>0.09131</cdr:y>
    </cdr:to>
    <cdr:sp macro="" textlink="">
      <cdr:nvSpPr>
        <cdr:cNvPr id="4" name="Rectangle 3">
          <a:extLst xmlns:a="http://schemas.openxmlformats.org/drawingml/2006/main">
            <a:ext uri="{FF2B5EF4-FFF2-40B4-BE49-F238E27FC236}">
              <a16:creationId xmlns:a16="http://schemas.microsoft.com/office/drawing/2014/main" id="{A14B08E7-A03D-A6B4-9B01-2E920B107EA8}"/>
            </a:ext>
          </a:extLst>
        </cdr:cNvPr>
        <cdr:cNvSpPr/>
      </cdr:nvSpPr>
      <cdr:spPr>
        <a:xfrm xmlns:a="http://schemas.openxmlformats.org/drawingml/2006/main">
          <a:off x="11129" y="1"/>
          <a:ext cx="7480858" cy="530006"/>
        </a:xfrm>
        <a:prstGeom xmlns:a="http://schemas.openxmlformats.org/drawingml/2006/main" prst="rect">
          <a:avLst/>
        </a:prstGeom>
        <a:solidFill xmlns:a="http://schemas.openxmlformats.org/drawingml/2006/main">
          <a:schemeClr val="bg1">
            <a:lumMod val="85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r>
            <a:rPr lang="en-US" sz="1800">
              <a:solidFill>
                <a:sysClr val="windowText" lastClr="000000"/>
              </a:solidFill>
            </a:rPr>
            <a:t>             </a:t>
          </a:r>
          <a:r>
            <a:rPr lang="en-US" sz="1800" b="1">
              <a:solidFill>
                <a:sysClr val="windowText" lastClr="000000"/>
              </a:solidFill>
            </a:rPr>
            <a:t>Monthly Chemical Consumption Data Anslysis</a:t>
          </a:r>
        </a:p>
      </cdr:txBody>
    </cdr:sp>
  </cdr:relSizeAnchor>
</c:userShapes>
</file>

<file path=xl/drawings/drawing8.xml><?xml version="1.0" encoding="utf-8"?>
<xdr:wsDr xmlns:xdr="http://schemas.openxmlformats.org/drawingml/2006/spreadsheetDrawing" xmlns:a="http://schemas.openxmlformats.org/drawingml/2006/main">
  <xdr:twoCellAnchor>
    <xdr:from>
      <xdr:col>11</xdr:col>
      <xdr:colOff>106680</xdr:colOff>
      <xdr:row>4</xdr:row>
      <xdr:rowOff>167640</xdr:rowOff>
    </xdr:from>
    <xdr:to>
      <xdr:col>14</xdr:col>
      <xdr:colOff>944880</xdr:colOff>
      <xdr:row>19</xdr:row>
      <xdr:rowOff>167640</xdr:rowOff>
    </xdr:to>
    <xdr:graphicFrame macro="">
      <xdr:nvGraphicFramePr>
        <xdr:cNvPr id="3" name="Chart 2">
          <a:extLst>
            <a:ext uri="{FF2B5EF4-FFF2-40B4-BE49-F238E27FC236}">
              <a16:creationId xmlns:a16="http://schemas.microsoft.com/office/drawing/2014/main" id="{798FEEBC-B6F1-7089-517E-D5200D3657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15</xdr:row>
      <xdr:rowOff>83820</xdr:rowOff>
    </xdr:from>
    <xdr:to>
      <xdr:col>5</xdr:col>
      <xdr:colOff>99060</xdr:colOff>
      <xdr:row>27</xdr:row>
      <xdr:rowOff>81915</xdr:rowOff>
    </xdr:to>
    <mc:AlternateContent xmlns:mc="http://schemas.openxmlformats.org/markup-compatibility/2006" xmlns:a14="http://schemas.microsoft.com/office/drawing/2010/main">
      <mc:Choice Requires="a14">
        <xdr:graphicFrame macro="">
          <xdr:nvGraphicFramePr>
            <xdr:cNvPr id="4" name="S/Alum (Kg)">
              <a:extLst>
                <a:ext uri="{FF2B5EF4-FFF2-40B4-BE49-F238E27FC236}">
                  <a16:creationId xmlns:a16="http://schemas.microsoft.com/office/drawing/2014/main" id="{A7546A93-E599-A3F0-E95F-0FEF7920BF7A}"/>
                </a:ext>
              </a:extLst>
            </xdr:cNvPr>
            <xdr:cNvGraphicFramePr/>
          </xdr:nvGraphicFramePr>
          <xdr:xfrm>
            <a:off x="0" y="0"/>
            <a:ext cx="0" cy="0"/>
          </xdr:xfrm>
          <a:graphic>
            <a:graphicData uri="http://schemas.microsoft.com/office/drawing/2010/slicer">
              <sle:slicer xmlns:sle="http://schemas.microsoft.com/office/drawing/2010/slicer" name="S/Alum (Kg)"/>
            </a:graphicData>
          </a:graphic>
        </xdr:graphicFrame>
      </mc:Choice>
      <mc:Fallback xmlns="">
        <xdr:sp macro="" textlink="">
          <xdr:nvSpPr>
            <xdr:cNvPr id="0" name=""/>
            <xdr:cNvSpPr>
              <a:spLocks noTextEdit="1"/>
            </xdr:cNvSpPr>
          </xdr:nvSpPr>
          <xdr:spPr>
            <a:xfrm>
              <a:off x="3459480" y="2827020"/>
              <a:ext cx="1325880" cy="2192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251460</xdr:colOff>
      <xdr:row>7</xdr:row>
      <xdr:rowOff>15240</xdr:rowOff>
    </xdr:from>
    <xdr:to>
      <xdr:col>10</xdr:col>
      <xdr:colOff>556260</xdr:colOff>
      <xdr:row>22</xdr:row>
      <xdr:rowOff>15240</xdr:rowOff>
    </xdr:to>
    <xdr:graphicFrame macro="">
      <xdr:nvGraphicFramePr>
        <xdr:cNvPr id="2" name="Chart 1">
          <a:extLst>
            <a:ext uri="{FF2B5EF4-FFF2-40B4-BE49-F238E27FC236}">
              <a16:creationId xmlns:a16="http://schemas.microsoft.com/office/drawing/2014/main" id="{B80F2CA1-8900-2EDA-D7E1-153C6942BE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411480</xdr:colOff>
      <xdr:row>22</xdr:row>
      <xdr:rowOff>38101</xdr:rowOff>
    </xdr:from>
    <xdr:to>
      <xdr:col>9</xdr:col>
      <xdr:colOff>411480</xdr:colOff>
      <xdr:row>28</xdr:row>
      <xdr:rowOff>45721</xdr:rowOff>
    </xdr:to>
    <mc:AlternateContent xmlns:mc="http://schemas.openxmlformats.org/markup-compatibility/2006">
      <mc:Choice xmlns:a14="http://schemas.microsoft.com/office/drawing/2010/main" Requires="a14">
        <xdr:graphicFrame macro="">
          <xdr:nvGraphicFramePr>
            <xdr:cNvPr id="3" name="Chemicals ">
              <a:extLst>
                <a:ext uri="{FF2B5EF4-FFF2-40B4-BE49-F238E27FC236}">
                  <a16:creationId xmlns:a16="http://schemas.microsoft.com/office/drawing/2014/main" id="{E8A3FAE0-D498-D829-DBFB-92A9691F6AF0}"/>
                </a:ext>
              </a:extLst>
            </xdr:cNvPr>
            <xdr:cNvGraphicFramePr/>
          </xdr:nvGraphicFramePr>
          <xdr:xfrm>
            <a:off x="0" y="0"/>
            <a:ext cx="0" cy="0"/>
          </xdr:xfrm>
          <a:graphic>
            <a:graphicData uri="http://schemas.microsoft.com/office/drawing/2010/slicer">
              <sle:slicer xmlns:sle="http://schemas.microsoft.com/office/drawing/2010/slicer" name="Chemicals "/>
            </a:graphicData>
          </a:graphic>
        </xdr:graphicFrame>
      </mc:Choice>
      <mc:Fallback>
        <xdr:sp macro="" textlink="">
          <xdr:nvSpPr>
            <xdr:cNvPr id="0" name=""/>
            <xdr:cNvSpPr>
              <a:spLocks noTextEdit="1"/>
            </xdr:cNvSpPr>
          </xdr:nvSpPr>
          <xdr:spPr>
            <a:xfrm>
              <a:off x="3901440" y="4061461"/>
              <a:ext cx="3048000"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457.597440393518" createdVersion="8" refreshedVersion="8" minRefreshableVersion="3" recordCount="621" xr:uid="{4DE3C98B-9835-4910-B94C-17F4E2426411}">
  <cacheSource type="worksheet">
    <worksheetSource ref="A2:R623" sheet="Sheet1"/>
  </cacheSource>
  <cacheFields count="20">
    <cacheField name="Month" numFmtId="0">
      <sharedItems containsBlank="1" count="8">
        <s v="Apr"/>
        <m/>
        <s v="May"/>
        <s v="June"/>
        <s v="July"/>
        <s v="Aug"/>
        <s v="Sep"/>
        <s v="Oct"/>
      </sharedItems>
    </cacheField>
    <cacheField name="Date" numFmtId="14">
      <sharedItems containsNonDate="0" containsDate="1" containsString="0" containsBlank="1" minDate="2023-04-08T00:00:00" maxDate="2023-11-01T00:00:00" count="208">
        <d v="2023-04-08T00:00:00"/>
        <m/>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sharedItems>
      <fieldGroup par="19"/>
    </cacheField>
    <cacheField name="Shift" numFmtId="0">
      <sharedItems/>
    </cacheField>
    <cacheField name="S/Alum (Kg)" numFmtId="0">
      <sharedItems containsSemiMixedTypes="0" containsString="0" containsNumber="1" containsInteger="1" minValue="0" maxValue="1060" count="57">
        <n v="900"/>
        <n v="920"/>
        <n v="860"/>
        <n v="960"/>
        <n v="980"/>
        <n v="880"/>
        <n v="720"/>
        <n v="1040"/>
        <n v="1000"/>
        <n v="940"/>
        <n v="790"/>
        <n v="560"/>
        <n v="570"/>
        <n v="680"/>
        <n v="640"/>
        <n v="780"/>
        <n v="620"/>
        <n v="740"/>
        <n v="1060"/>
        <n v="520"/>
        <n v="760"/>
        <n v="420"/>
        <n v="580"/>
        <n v="400"/>
        <n v="280"/>
        <n v="320"/>
        <n v="360"/>
        <n v="260"/>
        <n v="480"/>
        <n v="1020"/>
        <n v="690"/>
        <n v="660"/>
        <n v="600"/>
        <n v="160"/>
        <n v="500"/>
        <n v="380"/>
        <n v="540"/>
        <n v="440"/>
        <n v="340"/>
        <n v="300"/>
        <n v="800"/>
        <n v="840"/>
        <n v="0"/>
        <n v="240"/>
        <n v="120"/>
        <n v="250"/>
        <n v="40"/>
        <n v="80"/>
        <n v="100"/>
        <n v="460"/>
        <n v="220"/>
        <n v="200"/>
        <n v="140"/>
        <n v="180"/>
        <n v="672"/>
        <n v="384"/>
        <n v="700"/>
      </sharedItems>
    </cacheField>
    <cacheField name="S/Alum (Kg)2" numFmtId="0">
      <sharedItems containsString="0" containsBlank="1" containsNumber="1" containsInteger="1" minValue="0" maxValue="3160" count="92">
        <n v="2700"/>
        <m/>
        <n v="2760"/>
        <n v="2780"/>
        <n v="2800"/>
        <n v="2720"/>
        <n v="2880"/>
        <n v="2160"/>
        <n v="3040"/>
        <n v="2820"/>
        <n v="2740"/>
        <n v="2610"/>
        <n v="2600"/>
        <n v="1680"/>
        <n v="2140"/>
        <n v="2150"/>
        <n v="2260"/>
        <n v="2040"/>
        <n v="2340"/>
        <n v="2180"/>
        <n v="2020"/>
        <n v="2420"/>
        <n v="3160"/>
        <n v="2000"/>
        <n v="1920"/>
        <n v="1360"/>
        <n v="1080"/>
        <n v="1200"/>
        <n v="1040"/>
        <n v="960"/>
        <n v="940"/>
        <n v="1280"/>
        <n v="1640"/>
        <n v="2580"/>
        <n v="2540"/>
        <n v="3060"/>
        <n v="3020"/>
        <n v="1860"/>
        <n v="2280"/>
        <n v="1620"/>
        <n v="2070"/>
        <n v="2220"/>
        <n v="580"/>
        <n v="480"/>
        <n v="1140"/>
        <n v="1000"/>
        <n v="1260"/>
        <n v="1300"/>
        <n v="1240"/>
        <n v="1100"/>
        <n v="1800"/>
        <n v="1480"/>
        <n v="2100"/>
        <n v="2480"/>
        <n v="1440"/>
        <n v="360"/>
        <n v="240"/>
        <n v="680"/>
        <n v="160"/>
        <n v="120"/>
        <n v="250"/>
        <n v="40"/>
        <n v="0"/>
        <n v="440"/>
        <n v="820"/>
        <n v="1600"/>
        <n v="620"/>
        <n v="1320"/>
        <n v="860"/>
        <n v="1380"/>
        <n v="300"/>
        <n v="420"/>
        <n v="260"/>
        <n v="780"/>
        <n v="1020"/>
        <n v="880"/>
        <n v="280"/>
        <n v="220"/>
        <n v="900"/>
        <n v="100"/>
        <n v="980"/>
        <n v="560"/>
        <n v="760"/>
        <n v="840"/>
        <n v="720"/>
        <n v="740"/>
        <n v="700"/>
        <n v="600"/>
        <n v="520"/>
        <n v="460"/>
        <n v="1812"/>
        <n v="1960"/>
      </sharedItems>
    </cacheField>
    <cacheField name="L/Alum(Litre)" numFmtId="0">
      <sharedItems containsSemiMixedTypes="0" containsString="0" containsNumber="1" containsInteger="1" minValue="0" maxValue="9072"/>
    </cacheField>
    <cacheField name="L/Alum(Litre)2" numFmtId="0">
      <sharedItems containsBlank="1" containsMixedTypes="1" containsNumber="1" containsInteger="1" minValue="0" maxValue="18480" count="97">
        <s v="0"/>
        <m/>
        <n v="0"/>
        <n v="240"/>
        <n v="720"/>
        <n v="480"/>
        <n v="3456"/>
        <n v="7096"/>
        <n v="6524"/>
        <n v="8256"/>
        <n v="4769"/>
        <n v="8762"/>
        <n v="4508"/>
        <n v="7252"/>
        <n v="12264"/>
        <n v="8134"/>
        <n v="18480"/>
        <n v="6960"/>
        <n v="10666"/>
        <n v="3264"/>
        <n v="9496"/>
        <n v="4458"/>
        <n v="4976"/>
        <n v="3168"/>
        <n v="2540"/>
        <n v="3628"/>
        <n v="9648"/>
        <n v="6382"/>
        <n v="1536"/>
        <n v="5972"/>
        <n v="6000"/>
        <n v="9984"/>
        <n v="4704"/>
        <n v="1300"/>
        <n v="4320"/>
        <n v="6102"/>
        <n v="7944"/>
        <n v="8040"/>
        <n v="6144"/>
        <n v="12620"/>
        <n v="8760"/>
        <n v="6796"/>
        <n v="7536"/>
        <n v="6672"/>
        <n v="7920"/>
        <n v="9504"/>
        <n v="10056"/>
        <n v="5818"/>
        <n v="5424"/>
        <n v="4992"/>
        <n v="8592"/>
        <n v="6720"/>
        <n v="6384"/>
        <n v="3458"/>
        <n v="3024"/>
        <n v="8160"/>
        <n v="4578"/>
        <n v="3696"/>
        <n v="5472"/>
        <n v="12592"/>
        <n v="10576"/>
        <n v="10656"/>
        <n v="9792"/>
        <n v="9360"/>
        <n v="4656"/>
        <n v="4224"/>
        <n v="9312"/>
        <n v="5994"/>
        <n v="2574"/>
        <n v="2670"/>
        <n v="2460"/>
        <n v="2568"/>
        <n v="7304"/>
        <n v="4752"/>
        <n v="8875"/>
        <n v="6432"/>
        <n v="8428"/>
        <n v="8928"/>
        <n v="8784"/>
        <n v="8208"/>
        <n v="6912"/>
        <n v="4404"/>
        <n v="4464"/>
        <n v="3888"/>
        <n v="4620"/>
        <n v="5196"/>
        <n v="5982"/>
        <n v="3700"/>
        <n v="3960"/>
        <n v="3840"/>
        <n v="3966"/>
        <n v="4744"/>
        <n v="4968"/>
        <n v="2736"/>
        <n v="1728"/>
        <n v="1720"/>
        <n v="1152"/>
      </sharedItems>
    </cacheField>
    <cacheField name="P/PAC(Kg)" numFmtId="0">
      <sharedItems containsSemiMixedTypes="0" containsString="0" containsNumber="1" containsInteger="1" minValue="0" maxValue="2950"/>
    </cacheField>
    <cacheField name="P/PAC(Kg)2" numFmtId="0">
      <sharedItems containsBlank="1" containsMixedTypes="1" containsNumber="1" containsInteger="1" minValue="0" maxValue="7600" count="34">
        <s v="0"/>
        <m/>
        <n v="0"/>
        <n v="1350"/>
        <n v="1700"/>
        <n v="2000"/>
        <n v="1050"/>
        <n v="600"/>
        <n v="100"/>
        <n v="50"/>
        <n v="300"/>
        <n v="950"/>
        <n v="750"/>
        <n v="900"/>
        <n v="1500"/>
        <n v="1650"/>
        <n v="1400"/>
        <n v="1300"/>
        <n v="1250"/>
        <n v="700"/>
        <n v="200"/>
        <n v="650"/>
        <n v="800"/>
        <n v="850"/>
        <n v="5000"/>
        <n v="4150"/>
        <n v="4650"/>
        <n v="7600"/>
        <n v="2050"/>
        <n v="150"/>
        <n v="450"/>
        <n v="3450"/>
        <n v="1900"/>
        <n v="500"/>
      </sharedItems>
    </cacheField>
    <cacheField name="L/PAC(Litre)" numFmtId="0">
      <sharedItems containsSemiMixedTypes="0" containsString="0" containsNumber="1" containsInteger="1" minValue="0" maxValue="18240"/>
    </cacheField>
    <cacheField name="L/PAC(Litre)2" numFmtId="0">
      <sharedItems containsBlank="1" containsMixedTypes="1" containsNumber="1" containsInteger="1" minValue="0" maxValue="21024" count="74">
        <s v="0"/>
        <m/>
        <n v="0"/>
        <n v="720"/>
        <n v="480"/>
        <n v="768"/>
        <n v="864"/>
        <n v="912"/>
        <n v="1400"/>
        <n v="1152"/>
        <n v="1440"/>
        <n v="1488"/>
        <n v="1728"/>
        <n v="1248"/>
        <n v="1200"/>
        <n v="972"/>
        <n v="1296"/>
        <n v="816"/>
        <n v="1008"/>
        <n v="1680"/>
        <n v="1584"/>
        <n v="1872"/>
        <n v="2016"/>
        <n v="2040"/>
        <n v="3840"/>
        <n v="3072"/>
        <n v="4042"/>
        <n v="3240"/>
        <n v="4680"/>
        <n v="4128"/>
        <n v="4320"/>
        <n v="6444"/>
        <n v="4428"/>
        <n v="6344"/>
        <n v="5502"/>
        <n v="2544"/>
        <n v="792"/>
        <n v="4590"/>
        <n v="6672"/>
        <n v="6168"/>
        <n v="7491"/>
        <n v="3504"/>
        <n v="5130"/>
        <n v="6576"/>
        <n v="2496"/>
        <n v="2112"/>
        <n v="2688"/>
        <n v="960"/>
        <n v="3360"/>
        <n v="2880"/>
        <n v="5040"/>
        <n v="2208"/>
        <n v="21024"/>
        <n v="2304"/>
        <n v="2784"/>
        <n v="4370"/>
        <n v="3744"/>
        <n v="2486"/>
        <n v="2640"/>
        <n v="2736"/>
        <n v="2100"/>
        <n v="2774"/>
        <n v="2142"/>
        <n v="4992"/>
        <n v="5904"/>
        <n v="2832"/>
        <n v="1824"/>
        <n v="2440"/>
        <n v="3024"/>
        <n v="3600"/>
        <n v="570"/>
        <n v="3000"/>
        <n v="2940"/>
        <n v="4800"/>
      </sharedItems>
    </cacheField>
    <cacheField name="Chlorine (Kg)" numFmtId="0">
      <sharedItems containsSemiMixedTypes="0" containsString="0" containsNumber="1" containsInteger="1" minValue="108" maxValue="478" count="107">
        <n v="296"/>
        <n v="272"/>
        <n v="248"/>
        <n v="234"/>
        <n v="264"/>
        <n v="258"/>
        <n v="244"/>
        <n v="240"/>
        <n v="228"/>
        <n v="224"/>
        <n v="232"/>
        <n v="170"/>
        <n v="196"/>
        <n v="230"/>
        <n v="172"/>
        <n v="229"/>
        <n v="216"/>
        <n v="192"/>
        <n v="160"/>
        <n v="208"/>
        <n v="140"/>
        <n v="222"/>
        <n v="235"/>
        <n v="253"/>
        <n v="280"/>
        <n v="256"/>
        <n v="220"/>
        <n v="218"/>
        <n v="206"/>
        <n v="352"/>
        <n v="344"/>
        <n v="304"/>
        <n v="360"/>
        <n v="420"/>
        <n v="320"/>
        <n v="312"/>
        <n v="328"/>
        <n v="306"/>
        <n v="239"/>
        <n v="200"/>
        <n v="288"/>
        <n v="294"/>
        <n v="321"/>
        <n v="242"/>
        <n v="178"/>
        <n v="392"/>
        <n v="364"/>
        <n v="432"/>
        <n v="375"/>
        <n v="384"/>
        <n v="300"/>
        <n v="286"/>
        <n v="315"/>
        <n v="478"/>
        <n v="274"/>
        <n v="252"/>
        <n v="313"/>
        <n v="416"/>
        <n v="368"/>
        <n v="412"/>
        <n v="418"/>
        <n v="176"/>
        <n v="212"/>
        <n v="324"/>
        <n v="227"/>
        <n v="209"/>
        <n v="236"/>
        <n v="210"/>
        <n v="184"/>
        <n v="241"/>
        <n v="326"/>
        <n v="380"/>
        <n v="204"/>
        <n v="276"/>
        <n v="290"/>
        <n v="322"/>
        <n v="263"/>
        <n v="388"/>
        <n v="284"/>
        <n v="310"/>
        <n v="330"/>
        <n v="303"/>
        <n v="231"/>
        <n v="221"/>
        <n v="340"/>
        <n v="186"/>
        <n v="168"/>
        <n v="156"/>
        <n v="173"/>
        <n v="126"/>
        <n v="214"/>
        <n v="164"/>
        <n v="180"/>
        <n v="136"/>
        <n v="108"/>
        <n v="150"/>
        <n v="166"/>
        <n v="163"/>
        <n v="116"/>
        <n v="152"/>
        <n v="144"/>
        <n v="171"/>
        <n v="154"/>
        <n v="109"/>
        <n v="148"/>
        <n v="118"/>
        <n v="132"/>
      </sharedItems>
    </cacheField>
    <cacheField name="Chlorine (Kg)2" numFmtId="0">
      <sharedItems containsBlank="1" containsMixedTypes="1" containsNumber="1" containsInteger="1" minValue="382" maxValue="1282" count="125">
        <s v="888"/>
        <m/>
        <n v="754"/>
        <n v="800"/>
        <n v="770"/>
        <n v="712"/>
        <n v="696"/>
        <n v="704"/>
        <n v="634"/>
        <n v="590"/>
        <n v="701"/>
        <n v="568"/>
        <n v="580"/>
        <n v="664"/>
        <n v="688"/>
        <n v="680"/>
        <n v="686"/>
        <n v="699"/>
        <n v="698"/>
        <n v="781"/>
        <n v="732"/>
        <n v="816"/>
        <n v="760"/>
        <n v="888"/>
        <n v="992"/>
        <n v="1084"/>
        <n v="960"/>
        <n v="936"/>
        <n v="1008"/>
        <n v="1040"/>
        <n v="898"/>
        <n v="792"/>
        <n v="767"/>
        <n v="808"/>
        <n v="768"/>
        <n v="784"/>
        <n v="943"/>
        <n v="896"/>
        <n v="588"/>
        <n v="752"/>
        <n v="706"/>
        <n v="744"/>
        <n v="824"/>
        <n v="856"/>
        <n v="930"/>
        <n v="1188"/>
        <n v="1151"/>
        <n v="1112"/>
        <n v="890"/>
        <n v="1081"/>
        <n v="848"/>
        <n v="756"/>
        <n v="840"/>
        <n v="832"/>
        <n v="818"/>
        <n v="780"/>
        <n v="720"/>
        <n v="710"/>
        <n v="700"/>
        <n v="1248"/>
        <n v="1212"/>
        <n v="1282"/>
        <n v="644"/>
        <n v="724"/>
        <n v="783"/>
        <n v="797"/>
        <n v="618"/>
        <n v="773"/>
        <n v="1122"/>
        <n v="976"/>
        <n v="736"/>
        <n v="932"/>
        <n v="928"/>
        <n v="935"/>
        <n v="998"/>
        <n v="866"/>
        <n v="927"/>
        <n v="748"/>
        <n v="728"/>
        <n v="695"/>
        <n v="703"/>
        <n v="697"/>
        <n v="685"/>
        <n v="676"/>
        <n v="796"/>
        <n v="616"/>
        <n v="632"/>
        <n v="592"/>
        <n v="600"/>
        <n v="562"/>
        <n v="552"/>
        <n v="528"/>
        <n v="544"/>
        <n v="504"/>
        <n v="508"/>
        <n v="516"/>
        <n v="525"/>
        <n v="470"/>
        <n v="520"/>
        <n v="566"/>
        <n v="564"/>
        <n v="556"/>
        <n v="596"/>
        <n v="576"/>
        <n v="464"/>
        <n v="444"/>
        <n v="486"/>
        <n v="489"/>
        <n v="468"/>
        <n v="492"/>
        <n v="500"/>
        <n v="512"/>
        <n v="515"/>
        <n v="494"/>
        <n v="502"/>
        <n v="509"/>
        <n v="448"/>
        <n v="472"/>
        <n v="480"/>
        <n v="456"/>
        <n v="413"/>
        <n v="452"/>
        <n v="440"/>
        <n v="430"/>
        <n v="382"/>
      </sharedItems>
    </cacheField>
    <cacheField name="B/P (Kg)" numFmtId="0">
      <sharedItems containsSemiMixedTypes="0" containsString="0" containsNumber="1" containsInteger="1" minValue="0" maxValue="1200"/>
    </cacheField>
    <cacheField name="B/P (Kg)2" numFmtId="0">
      <sharedItems containsBlank="1" containsMixedTypes="1" containsNumber="1" containsInteger="1" minValue="0" maxValue="2700" count="39">
        <s v="1300"/>
        <m/>
        <n v="1650"/>
        <n v="1600"/>
        <n v="950"/>
        <n v="1150"/>
        <n v="1000"/>
        <n v="550"/>
        <n v="800"/>
        <n v="900"/>
        <n v="650"/>
        <n v="200"/>
        <n v="500"/>
        <n v="350"/>
        <n v="700"/>
        <n v="0"/>
        <n v="850"/>
        <n v="750"/>
        <n v="150"/>
        <n v="1350"/>
        <n v="1200"/>
        <n v="1050"/>
        <n v="600"/>
        <n v="300"/>
        <n v="400"/>
        <n v="250"/>
        <n v="450"/>
        <n v="2250"/>
        <n v="1800"/>
        <n v="1500"/>
        <n v="1250"/>
        <n v="50"/>
        <n v="2700"/>
        <n v="2550"/>
        <n v="1400"/>
        <n v="2000"/>
        <n v="1300"/>
        <n v="1550"/>
        <n v="100"/>
      </sharedItems>
    </cacheField>
    <cacheField name="NaOCl (Litre)" numFmtId="0">
      <sharedItems containsSemiMixedTypes="0" containsString="0" containsNumber="1" containsInteger="1" minValue="0" maxValue="1650"/>
    </cacheField>
    <cacheField name="NaOCl (Litre)2" numFmtId="0">
      <sharedItems containsBlank="1" containsMixedTypes="1" containsNumber="1" containsInteger="1" minValue="0" maxValue="2910" count="30">
        <s v="270"/>
        <m/>
        <n v="270"/>
        <n v="0"/>
        <n v="350"/>
        <n v="105"/>
        <n v="35"/>
        <n v="60"/>
        <n v="140"/>
        <n v="210"/>
        <n v="420"/>
        <n v="560"/>
        <n v="245"/>
        <n v="175"/>
        <n v="515"/>
        <n v="690"/>
        <n v="2190"/>
        <n v="1470"/>
        <n v="1500"/>
        <n v="465"/>
        <n v="665"/>
        <n v="385"/>
        <n v="70"/>
        <n v="870"/>
        <n v="2910"/>
        <n v="2250"/>
        <n v="1800"/>
        <n v="120"/>
        <n v="770"/>
        <n v="180"/>
      </sharedItems>
    </cacheField>
    <cacheField name="Turbidity(NTU)" numFmtId="0">
      <sharedItems containsString="0" containsBlank="1" containsNumber="1" minValue="4" maxValue="387"/>
    </cacheField>
    <cacheField name="Days (Date)" numFmtId="0" databaseField="0">
      <fieldGroup base="1">
        <rangePr groupBy="days" startDate="2023-04-08T00:00:00" endDate="2023-11-01T00:00:00"/>
        <groupItems count="368">
          <s v="&lt;08-04-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11-2023"/>
        </groupItems>
      </fieldGroup>
    </cacheField>
    <cacheField name="Months (Date)" numFmtId="0" databaseField="0">
      <fieldGroup base="1">
        <rangePr groupBy="months" startDate="2023-04-08T00:00:00" endDate="2023-11-01T00:00:00"/>
        <groupItems count="14">
          <s v="&lt;08-04-2023"/>
          <s v="Jan"/>
          <s v="Feb"/>
          <s v="Mar"/>
          <s v="Apr"/>
          <s v="May"/>
          <s v="Jun"/>
          <s v="Jul"/>
          <s v="Aug"/>
          <s v="Sep"/>
          <s v="Oct"/>
          <s v="Nov"/>
          <s v="Dec"/>
          <s v="&gt;01-11-2023"/>
        </groupItems>
      </fieldGroup>
    </cacheField>
  </cacheFields>
  <extLst>
    <ext xmlns:x14="http://schemas.microsoft.com/office/spreadsheetml/2009/9/main" uri="{725AE2AE-9491-48be-B2B4-4EB974FC3084}">
      <x14:pivotCacheDefinition pivotCacheId="108680997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461.708077314812" createdVersion="8" refreshedVersion="8" minRefreshableVersion="3" recordCount="7" xr:uid="{1EAEC50C-58BC-4BC2-A52D-791BA7815921}">
  <cacheSource type="worksheet">
    <worksheetSource ref="A1:B8" sheet="Sheet7"/>
  </cacheSource>
  <cacheFields count="2">
    <cacheField name="Chemicals " numFmtId="0">
      <sharedItems count="7">
        <s v="S/Alum"/>
        <s v="L/Alum"/>
        <s v="P/PAC"/>
        <s v="L/PAC"/>
        <s v="Chlorine"/>
        <s v="B/P"/>
        <s v="NaOCl"/>
      </sharedItems>
    </cacheField>
    <cacheField name="Amount(kg/ltr)" numFmtId="0">
      <sharedItems containsSemiMixedTypes="0" containsString="0" containsNumber="1" containsInteger="1" minValue="22410" maxValue="609976"/>
    </cacheField>
  </cacheFields>
  <extLst>
    <ext xmlns:x14="http://schemas.microsoft.com/office/spreadsheetml/2009/9/main" uri="{725AE2AE-9491-48be-B2B4-4EB974FC3084}">
      <x14:pivotCacheDefinition pivotCacheId="11338575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1">
  <r>
    <x v="0"/>
    <x v="0"/>
    <s v="A"/>
    <x v="0"/>
    <x v="0"/>
    <n v="0"/>
    <x v="0"/>
    <n v="0"/>
    <x v="0"/>
    <n v="0"/>
    <x v="0"/>
    <x v="0"/>
    <x v="0"/>
    <n v="450"/>
    <x v="0"/>
    <n v="90"/>
    <x v="0"/>
    <n v="7"/>
  </r>
  <r>
    <x v="1"/>
    <x v="1"/>
    <s v="B"/>
    <x v="0"/>
    <x v="1"/>
    <n v="0"/>
    <x v="1"/>
    <n v="0"/>
    <x v="1"/>
    <n v="0"/>
    <x v="1"/>
    <x v="0"/>
    <x v="1"/>
    <n v="450"/>
    <x v="1"/>
    <n v="90"/>
    <x v="1"/>
    <m/>
  </r>
  <r>
    <x v="1"/>
    <x v="1"/>
    <s v="C"/>
    <x v="0"/>
    <x v="1"/>
    <n v="0"/>
    <x v="1"/>
    <n v="0"/>
    <x v="1"/>
    <n v="0"/>
    <x v="1"/>
    <x v="0"/>
    <x v="1"/>
    <n v="400"/>
    <x v="1"/>
    <n v="90"/>
    <x v="1"/>
    <m/>
  </r>
  <r>
    <x v="1"/>
    <x v="2"/>
    <s v="A"/>
    <x v="1"/>
    <x v="2"/>
    <n v="0"/>
    <x v="2"/>
    <n v="0"/>
    <x v="2"/>
    <n v="0"/>
    <x v="2"/>
    <x v="1"/>
    <x v="2"/>
    <n v="650"/>
    <x v="2"/>
    <n v="90"/>
    <x v="2"/>
    <n v="7.5"/>
  </r>
  <r>
    <x v="1"/>
    <x v="1"/>
    <s v="B"/>
    <x v="1"/>
    <x v="1"/>
    <n v="0"/>
    <x v="1"/>
    <n v="0"/>
    <x v="1"/>
    <n v="0"/>
    <x v="1"/>
    <x v="2"/>
    <x v="1"/>
    <n v="650"/>
    <x v="1"/>
    <n v="90"/>
    <x v="1"/>
    <m/>
  </r>
  <r>
    <x v="1"/>
    <x v="1"/>
    <s v="C"/>
    <x v="1"/>
    <x v="1"/>
    <n v="0"/>
    <x v="1"/>
    <n v="0"/>
    <x v="1"/>
    <n v="0"/>
    <x v="1"/>
    <x v="3"/>
    <x v="1"/>
    <n v="350"/>
    <x v="1"/>
    <n v="90"/>
    <x v="1"/>
    <m/>
  </r>
  <r>
    <x v="1"/>
    <x v="3"/>
    <s v="A"/>
    <x v="1"/>
    <x v="0"/>
    <n v="0"/>
    <x v="2"/>
    <n v="0"/>
    <x v="2"/>
    <n v="0"/>
    <x v="2"/>
    <x v="4"/>
    <x v="3"/>
    <n v="750"/>
    <x v="3"/>
    <n v="90"/>
    <x v="2"/>
    <n v="8"/>
  </r>
  <r>
    <x v="1"/>
    <x v="1"/>
    <s v="B"/>
    <x v="1"/>
    <x v="1"/>
    <n v="0"/>
    <x v="1"/>
    <n v="0"/>
    <x v="1"/>
    <n v="0"/>
    <x v="1"/>
    <x v="4"/>
    <x v="1"/>
    <n v="450"/>
    <x v="1"/>
    <n v="90"/>
    <x v="1"/>
    <m/>
  </r>
  <r>
    <x v="1"/>
    <x v="1"/>
    <s v="C"/>
    <x v="2"/>
    <x v="1"/>
    <n v="0"/>
    <x v="1"/>
    <n v="0"/>
    <x v="1"/>
    <n v="0"/>
    <x v="1"/>
    <x v="1"/>
    <x v="1"/>
    <n v="400"/>
    <x v="1"/>
    <n v="90"/>
    <x v="1"/>
    <m/>
  </r>
  <r>
    <x v="1"/>
    <x v="4"/>
    <s v="A"/>
    <x v="1"/>
    <x v="0"/>
    <n v="0"/>
    <x v="2"/>
    <n v="0"/>
    <x v="2"/>
    <n v="0"/>
    <x v="2"/>
    <x v="4"/>
    <x v="4"/>
    <n v="650"/>
    <x v="2"/>
    <n v="90"/>
    <x v="2"/>
    <n v="7"/>
  </r>
  <r>
    <x v="1"/>
    <x v="1"/>
    <s v="B"/>
    <x v="1"/>
    <x v="1"/>
    <n v="0"/>
    <x v="1"/>
    <n v="0"/>
    <x v="1"/>
    <n v="0"/>
    <x v="1"/>
    <x v="5"/>
    <x v="1"/>
    <n v="400"/>
    <x v="1"/>
    <n v="90"/>
    <x v="1"/>
    <m/>
  </r>
  <r>
    <x v="1"/>
    <x v="1"/>
    <s v="C"/>
    <x v="2"/>
    <x v="1"/>
    <n v="0"/>
    <x v="1"/>
    <n v="0"/>
    <x v="1"/>
    <n v="0"/>
    <x v="1"/>
    <x v="2"/>
    <x v="1"/>
    <n v="600"/>
    <x v="1"/>
    <n v="90"/>
    <x v="1"/>
    <m/>
  </r>
  <r>
    <x v="1"/>
    <x v="5"/>
    <s v="A"/>
    <x v="1"/>
    <x v="0"/>
    <n v="0"/>
    <x v="2"/>
    <n v="0"/>
    <x v="2"/>
    <n v="0"/>
    <x v="2"/>
    <x v="6"/>
    <x v="5"/>
    <n v="650"/>
    <x v="4"/>
    <n v="0"/>
    <x v="3"/>
    <n v="7"/>
  </r>
  <r>
    <x v="1"/>
    <x v="1"/>
    <s v="B"/>
    <x v="1"/>
    <x v="1"/>
    <n v="0"/>
    <x v="1"/>
    <n v="0"/>
    <x v="1"/>
    <n v="0"/>
    <x v="1"/>
    <x v="7"/>
    <x v="1"/>
    <n v="0"/>
    <x v="1"/>
    <n v="0"/>
    <x v="1"/>
    <m/>
  </r>
  <r>
    <x v="1"/>
    <x v="1"/>
    <s v="C"/>
    <x v="2"/>
    <x v="1"/>
    <n v="0"/>
    <x v="1"/>
    <n v="0"/>
    <x v="1"/>
    <n v="0"/>
    <x v="1"/>
    <x v="8"/>
    <x v="1"/>
    <n v="300"/>
    <x v="1"/>
    <n v="0"/>
    <x v="1"/>
    <m/>
  </r>
  <r>
    <x v="1"/>
    <x v="6"/>
    <s v="A"/>
    <x v="3"/>
    <x v="3"/>
    <n v="0"/>
    <x v="2"/>
    <n v="0"/>
    <x v="2"/>
    <n v="0"/>
    <x v="2"/>
    <x v="7"/>
    <x v="6"/>
    <n v="300"/>
    <x v="5"/>
    <n v="0"/>
    <x v="3"/>
    <n v="6"/>
  </r>
  <r>
    <x v="1"/>
    <x v="1"/>
    <s v="B"/>
    <x v="3"/>
    <x v="1"/>
    <n v="0"/>
    <x v="1"/>
    <n v="0"/>
    <x v="1"/>
    <n v="0"/>
    <x v="1"/>
    <x v="9"/>
    <x v="1"/>
    <n v="300"/>
    <x v="1"/>
    <n v="0"/>
    <x v="1"/>
    <m/>
  </r>
  <r>
    <x v="1"/>
    <x v="1"/>
    <s v="C"/>
    <x v="2"/>
    <x v="1"/>
    <n v="0"/>
    <x v="1"/>
    <n v="0"/>
    <x v="1"/>
    <n v="0"/>
    <x v="1"/>
    <x v="10"/>
    <x v="1"/>
    <n v="550"/>
    <x v="1"/>
    <n v="0"/>
    <x v="1"/>
    <m/>
  </r>
  <r>
    <x v="1"/>
    <x v="7"/>
    <s v="A"/>
    <x v="3"/>
    <x v="3"/>
    <n v="0"/>
    <x v="2"/>
    <n v="0"/>
    <x v="2"/>
    <n v="0"/>
    <x v="2"/>
    <x v="7"/>
    <x v="7"/>
    <n v="400"/>
    <x v="6"/>
    <n v="0"/>
    <x v="3"/>
    <n v="7"/>
  </r>
  <r>
    <x v="1"/>
    <x v="1"/>
    <s v="B"/>
    <x v="3"/>
    <x v="1"/>
    <n v="0"/>
    <x v="1"/>
    <n v="0"/>
    <x v="1"/>
    <n v="0"/>
    <x v="1"/>
    <x v="7"/>
    <x v="1"/>
    <n v="300"/>
    <x v="1"/>
    <n v="0"/>
    <x v="1"/>
    <m/>
  </r>
  <r>
    <x v="1"/>
    <x v="1"/>
    <s v="C"/>
    <x v="2"/>
    <x v="1"/>
    <n v="0"/>
    <x v="1"/>
    <n v="0"/>
    <x v="1"/>
    <n v="0"/>
    <x v="1"/>
    <x v="9"/>
    <x v="1"/>
    <n v="300"/>
    <x v="1"/>
    <n v="0"/>
    <x v="1"/>
    <m/>
  </r>
  <r>
    <x v="1"/>
    <x v="8"/>
    <s v="A"/>
    <x v="3"/>
    <x v="3"/>
    <n v="0"/>
    <x v="2"/>
    <n v="0"/>
    <x v="2"/>
    <n v="0"/>
    <x v="2"/>
    <x v="7"/>
    <x v="8"/>
    <n v="250"/>
    <x v="7"/>
    <n v="0"/>
    <x v="4"/>
    <n v="7"/>
  </r>
  <r>
    <x v="1"/>
    <x v="1"/>
    <s v="B"/>
    <x v="3"/>
    <x v="1"/>
    <n v="0"/>
    <x v="1"/>
    <n v="0"/>
    <x v="1"/>
    <n v="0"/>
    <x v="1"/>
    <x v="9"/>
    <x v="1"/>
    <n v="0"/>
    <x v="1"/>
    <n v="70"/>
    <x v="1"/>
    <m/>
  </r>
  <r>
    <x v="1"/>
    <x v="1"/>
    <s v="C"/>
    <x v="2"/>
    <x v="1"/>
    <n v="0"/>
    <x v="1"/>
    <n v="0"/>
    <x v="1"/>
    <n v="0"/>
    <x v="1"/>
    <x v="11"/>
    <x v="1"/>
    <n v="300"/>
    <x v="1"/>
    <n v="280"/>
    <x v="1"/>
    <m/>
  </r>
  <r>
    <x v="1"/>
    <x v="9"/>
    <s v="A"/>
    <x v="4"/>
    <x v="4"/>
    <n v="0"/>
    <x v="2"/>
    <n v="0"/>
    <x v="2"/>
    <n v="0"/>
    <x v="2"/>
    <x v="9"/>
    <x v="9"/>
    <n v="350"/>
    <x v="8"/>
    <n v="0"/>
    <x v="4"/>
    <n v="7"/>
  </r>
  <r>
    <x v="1"/>
    <x v="1"/>
    <s v="B"/>
    <x v="3"/>
    <x v="1"/>
    <n v="0"/>
    <x v="1"/>
    <n v="0"/>
    <x v="1"/>
    <n v="0"/>
    <x v="1"/>
    <x v="12"/>
    <x v="1"/>
    <n v="0"/>
    <x v="1"/>
    <n v="0"/>
    <x v="1"/>
    <m/>
  </r>
  <r>
    <x v="1"/>
    <x v="1"/>
    <s v="C"/>
    <x v="2"/>
    <x v="1"/>
    <n v="0"/>
    <x v="1"/>
    <n v="0"/>
    <x v="1"/>
    <n v="0"/>
    <x v="1"/>
    <x v="11"/>
    <x v="1"/>
    <n v="450"/>
    <x v="1"/>
    <n v="350"/>
    <x v="1"/>
    <m/>
  </r>
  <r>
    <x v="1"/>
    <x v="10"/>
    <s v="A"/>
    <x v="5"/>
    <x v="4"/>
    <n v="0"/>
    <x v="2"/>
    <n v="0"/>
    <x v="2"/>
    <n v="0"/>
    <x v="2"/>
    <x v="10"/>
    <x v="8"/>
    <n v="200"/>
    <x v="9"/>
    <n v="0"/>
    <x v="5"/>
    <n v="7"/>
  </r>
  <r>
    <x v="1"/>
    <x v="1"/>
    <s v="B"/>
    <x v="3"/>
    <x v="1"/>
    <n v="0"/>
    <x v="1"/>
    <n v="0"/>
    <x v="1"/>
    <n v="0"/>
    <x v="1"/>
    <x v="13"/>
    <x v="1"/>
    <n v="350"/>
    <x v="1"/>
    <n v="35"/>
    <x v="1"/>
    <m/>
  </r>
  <r>
    <x v="1"/>
    <x v="1"/>
    <s v="C"/>
    <x v="3"/>
    <x v="1"/>
    <n v="0"/>
    <x v="1"/>
    <n v="0"/>
    <x v="1"/>
    <n v="0"/>
    <x v="1"/>
    <x v="14"/>
    <x v="1"/>
    <n v="350"/>
    <x v="1"/>
    <n v="70"/>
    <x v="1"/>
    <m/>
  </r>
  <r>
    <x v="1"/>
    <x v="11"/>
    <s v="A"/>
    <x v="3"/>
    <x v="3"/>
    <n v="0"/>
    <x v="2"/>
    <n v="0"/>
    <x v="2"/>
    <n v="0"/>
    <x v="2"/>
    <x v="7"/>
    <x v="10"/>
    <n v="0"/>
    <x v="10"/>
    <n v="0"/>
    <x v="6"/>
    <n v="6"/>
  </r>
  <r>
    <x v="1"/>
    <x v="1"/>
    <s v="B"/>
    <x v="3"/>
    <x v="1"/>
    <n v="0"/>
    <x v="1"/>
    <n v="0"/>
    <x v="1"/>
    <n v="0"/>
    <x v="1"/>
    <x v="15"/>
    <x v="1"/>
    <n v="300"/>
    <x v="1"/>
    <n v="35"/>
    <x v="1"/>
    <m/>
  </r>
  <r>
    <x v="1"/>
    <x v="1"/>
    <s v="C"/>
    <x v="2"/>
    <x v="1"/>
    <n v="0"/>
    <x v="1"/>
    <n v="0"/>
    <x v="1"/>
    <n v="0"/>
    <x v="1"/>
    <x v="10"/>
    <x v="1"/>
    <n v="350"/>
    <x v="1"/>
    <n v="0"/>
    <x v="1"/>
    <m/>
  </r>
  <r>
    <x v="1"/>
    <x v="12"/>
    <s v="A"/>
    <x v="3"/>
    <x v="0"/>
    <n v="0"/>
    <x v="2"/>
    <n v="0"/>
    <x v="2"/>
    <n v="0"/>
    <x v="2"/>
    <x v="16"/>
    <x v="11"/>
    <n v="0"/>
    <x v="11"/>
    <n v="0"/>
    <x v="5"/>
    <n v="6.5"/>
  </r>
  <r>
    <x v="1"/>
    <x v="1"/>
    <s v="B"/>
    <x v="5"/>
    <x v="1"/>
    <n v="0"/>
    <x v="1"/>
    <n v="0"/>
    <x v="1"/>
    <n v="0"/>
    <x v="1"/>
    <x v="17"/>
    <x v="1"/>
    <n v="200"/>
    <x v="1"/>
    <n v="0"/>
    <x v="1"/>
    <m/>
  </r>
  <r>
    <x v="1"/>
    <x v="1"/>
    <s v="C"/>
    <x v="2"/>
    <x v="1"/>
    <n v="0"/>
    <x v="1"/>
    <n v="0"/>
    <x v="1"/>
    <n v="0"/>
    <x v="1"/>
    <x v="18"/>
    <x v="1"/>
    <n v="0"/>
    <x v="1"/>
    <n v="105"/>
    <x v="1"/>
    <m/>
  </r>
  <r>
    <x v="1"/>
    <x v="13"/>
    <s v="A"/>
    <x v="3"/>
    <x v="3"/>
    <n v="0"/>
    <x v="2"/>
    <n v="0"/>
    <x v="2"/>
    <n v="0"/>
    <x v="2"/>
    <x v="19"/>
    <x v="12"/>
    <n v="0"/>
    <x v="12"/>
    <n v="0"/>
    <x v="3"/>
    <n v="7"/>
  </r>
  <r>
    <x v="1"/>
    <x v="1"/>
    <s v="B"/>
    <x v="3"/>
    <x v="1"/>
    <n v="0"/>
    <x v="1"/>
    <n v="0"/>
    <x v="1"/>
    <n v="0"/>
    <x v="1"/>
    <x v="10"/>
    <x v="1"/>
    <n v="250"/>
    <x v="1"/>
    <n v="0"/>
    <x v="1"/>
    <m/>
  </r>
  <r>
    <x v="1"/>
    <x v="1"/>
    <s v="C"/>
    <x v="2"/>
    <x v="1"/>
    <n v="0"/>
    <x v="1"/>
    <n v="0"/>
    <x v="1"/>
    <n v="0"/>
    <x v="1"/>
    <x v="20"/>
    <x v="1"/>
    <n v="250"/>
    <x v="1"/>
    <n v="0"/>
    <x v="1"/>
    <m/>
  </r>
  <r>
    <x v="1"/>
    <x v="14"/>
    <s v="A"/>
    <x v="3"/>
    <x v="5"/>
    <n v="0"/>
    <x v="2"/>
    <n v="0"/>
    <x v="2"/>
    <n v="0"/>
    <x v="2"/>
    <x v="10"/>
    <x v="13"/>
    <n v="100"/>
    <x v="13"/>
    <n v="0"/>
    <x v="3"/>
    <n v="6"/>
  </r>
  <r>
    <x v="1"/>
    <x v="1"/>
    <s v="B"/>
    <x v="5"/>
    <x v="1"/>
    <n v="0"/>
    <x v="1"/>
    <n v="0"/>
    <x v="1"/>
    <n v="0"/>
    <x v="1"/>
    <x v="16"/>
    <x v="1"/>
    <n v="100"/>
    <x v="1"/>
    <n v="0"/>
    <x v="1"/>
    <m/>
  </r>
  <r>
    <x v="1"/>
    <x v="1"/>
    <s v="C"/>
    <x v="5"/>
    <x v="1"/>
    <n v="0"/>
    <x v="1"/>
    <n v="0"/>
    <x v="1"/>
    <n v="0"/>
    <x v="1"/>
    <x v="16"/>
    <x v="1"/>
    <n v="150"/>
    <x v="1"/>
    <n v="0"/>
    <x v="1"/>
    <m/>
  </r>
  <r>
    <x v="1"/>
    <x v="15"/>
    <s v="A"/>
    <x v="3"/>
    <x v="3"/>
    <n v="0"/>
    <x v="2"/>
    <n v="0"/>
    <x v="2"/>
    <n v="0"/>
    <x v="2"/>
    <x v="9"/>
    <x v="14"/>
    <n v="100"/>
    <x v="8"/>
    <n v="0"/>
    <x v="3"/>
    <n v="7"/>
  </r>
  <r>
    <x v="1"/>
    <x v="1"/>
    <s v="B"/>
    <x v="3"/>
    <x v="1"/>
    <n v="0"/>
    <x v="1"/>
    <n v="0"/>
    <x v="1"/>
    <n v="0"/>
    <x v="1"/>
    <x v="10"/>
    <x v="1"/>
    <n v="350"/>
    <x v="1"/>
    <n v="0"/>
    <x v="1"/>
    <m/>
  </r>
  <r>
    <x v="1"/>
    <x v="1"/>
    <s v="C"/>
    <x v="2"/>
    <x v="1"/>
    <n v="0"/>
    <x v="1"/>
    <n v="0"/>
    <x v="1"/>
    <n v="0"/>
    <x v="1"/>
    <x v="10"/>
    <x v="1"/>
    <n v="350"/>
    <x v="1"/>
    <n v="0"/>
    <x v="1"/>
    <m/>
  </r>
  <r>
    <x v="1"/>
    <x v="16"/>
    <s v="A"/>
    <x v="3"/>
    <x v="6"/>
    <n v="0"/>
    <x v="2"/>
    <n v="0"/>
    <x v="2"/>
    <n v="0"/>
    <x v="2"/>
    <x v="10"/>
    <x v="15"/>
    <n v="150"/>
    <x v="8"/>
    <n v="0"/>
    <x v="7"/>
    <n v="6"/>
  </r>
  <r>
    <x v="1"/>
    <x v="1"/>
    <s v="B"/>
    <x v="3"/>
    <x v="1"/>
    <n v="0"/>
    <x v="1"/>
    <n v="0"/>
    <x v="1"/>
    <n v="0"/>
    <x v="1"/>
    <x v="10"/>
    <x v="1"/>
    <n v="350"/>
    <x v="1"/>
    <n v="0"/>
    <x v="1"/>
    <m/>
  </r>
  <r>
    <x v="1"/>
    <x v="1"/>
    <s v="C"/>
    <x v="3"/>
    <x v="1"/>
    <n v="0"/>
    <x v="1"/>
    <n v="0"/>
    <x v="1"/>
    <n v="0"/>
    <x v="1"/>
    <x v="16"/>
    <x v="1"/>
    <n v="300"/>
    <x v="1"/>
    <n v="60"/>
    <x v="1"/>
    <m/>
  </r>
  <r>
    <x v="1"/>
    <x v="17"/>
    <s v="A"/>
    <x v="3"/>
    <x v="6"/>
    <n v="0"/>
    <x v="2"/>
    <n v="0"/>
    <x v="2"/>
    <n v="0"/>
    <x v="2"/>
    <x v="21"/>
    <x v="16"/>
    <n v="350"/>
    <x v="14"/>
    <n v="105"/>
    <x v="5"/>
    <n v="6"/>
  </r>
  <r>
    <x v="1"/>
    <x v="1"/>
    <s v="B"/>
    <x v="3"/>
    <x v="1"/>
    <n v="0"/>
    <x v="1"/>
    <n v="0"/>
    <x v="1"/>
    <n v="0"/>
    <x v="1"/>
    <x v="10"/>
    <x v="1"/>
    <n v="350"/>
    <x v="1"/>
    <n v="0"/>
    <x v="1"/>
    <m/>
  </r>
  <r>
    <x v="1"/>
    <x v="1"/>
    <s v="C"/>
    <x v="3"/>
    <x v="1"/>
    <n v="0"/>
    <x v="1"/>
    <n v="0"/>
    <x v="1"/>
    <n v="0"/>
    <x v="1"/>
    <x v="10"/>
    <x v="1"/>
    <n v="0"/>
    <x v="1"/>
    <n v="0"/>
    <x v="1"/>
    <m/>
  </r>
  <r>
    <x v="1"/>
    <x v="18"/>
    <s v="A"/>
    <x v="6"/>
    <x v="7"/>
    <n v="0"/>
    <x v="2"/>
    <n v="0"/>
    <x v="2"/>
    <n v="0"/>
    <x v="2"/>
    <x v="22"/>
    <x v="17"/>
    <n v="0"/>
    <x v="15"/>
    <n v="0"/>
    <x v="3"/>
    <n v="5"/>
  </r>
  <r>
    <x v="1"/>
    <x v="1"/>
    <s v="B"/>
    <x v="6"/>
    <x v="1"/>
    <n v="0"/>
    <x v="1"/>
    <n v="0"/>
    <x v="1"/>
    <n v="0"/>
    <x v="1"/>
    <x v="10"/>
    <x v="1"/>
    <n v="0"/>
    <x v="1"/>
    <n v="0"/>
    <x v="1"/>
    <m/>
  </r>
  <r>
    <x v="1"/>
    <x v="1"/>
    <s v="C"/>
    <x v="6"/>
    <x v="1"/>
    <n v="0"/>
    <x v="1"/>
    <n v="0"/>
    <x v="1"/>
    <n v="0"/>
    <x v="1"/>
    <x v="10"/>
    <x v="1"/>
    <n v="0"/>
    <x v="1"/>
    <n v="0"/>
    <x v="1"/>
    <m/>
  </r>
  <r>
    <x v="1"/>
    <x v="19"/>
    <s v="A"/>
    <x v="6"/>
    <x v="7"/>
    <n v="0"/>
    <x v="2"/>
    <n v="0"/>
    <x v="2"/>
    <n v="0"/>
    <x v="2"/>
    <x v="3"/>
    <x v="18"/>
    <n v="350"/>
    <x v="4"/>
    <n v="0"/>
    <x v="3"/>
    <n v="5"/>
  </r>
  <r>
    <x v="1"/>
    <x v="1"/>
    <s v="B"/>
    <x v="6"/>
    <x v="1"/>
    <n v="0"/>
    <x v="1"/>
    <n v="0"/>
    <x v="1"/>
    <n v="0"/>
    <x v="1"/>
    <x v="10"/>
    <x v="1"/>
    <n v="250"/>
    <x v="1"/>
    <n v="0"/>
    <x v="1"/>
    <m/>
  </r>
  <r>
    <x v="1"/>
    <x v="1"/>
    <s v="C"/>
    <x v="6"/>
    <x v="1"/>
    <n v="0"/>
    <x v="1"/>
    <n v="0"/>
    <x v="1"/>
    <n v="0"/>
    <x v="1"/>
    <x v="10"/>
    <x v="1"/>
    <n v="350"/>
    <x v="1"/>
    <n v="0"/>
    <x v="1"/>
    <m/>
  </r>
  <r>
    <x v="1"/>
    <x v="20"/>
    <s v="A"/>
    <x v="0"/>
    <x v="0"/>
    <n v="0"/>
    <x v="2"/>
    <n v="0"/>
    <x v="2"/>
    <n v="0"/>
    <x v="2"/>
    <x v="16"/>
    <x v="13"/>
    <n v="300"/>
    <x v="4"/>
    <n v="0"/>
    <x v="3"/>
    <n v="5.6"/>
  </r>
  <r>
    <x v="1"/>
    <x v="1"/>
    <s v="B"/>
    <x v="0"/>
    <x v="1"/>
    <n v="0"/>
    <x v="1"/>
    <n v="0"/>
    <x v="1"/>
    <n v="0"/>
    <x v="1"/>
    <x v="16"/>
    <x v="1"/>
    <n v="350"/>
    <x v="1"/>
    <n v="0"/>
    <x v="1"/>
    <m/>
  </r>
  <r>
    <x v="1"/>
    <x v="1"/>
    <s v="C"/>
    <x v="0"/>
    <x v="1"/>
    <n v="0"/>
    <x v="1"/>
    <n v="0"/>
    <x v="1"/>
    <n v="0"/>
    <x v="1"/>
    <x v="10"/>
    <x v="1"/>
    <n v="300"/>
    <x v="1"/>
    <n v="0"/>
    <x v="1"/>
    <m/>
  </r>
  <r>
    <x v="1"/>
    <x v="21"/>
    <s v="A"/>
    <x v="7"/>
    <x v="8"/>
    <n v="0"/>
    <x v="2"/>
    <n v="0"/>
    <x v="2"/>
    <n v="0"/>
    <x v="2"/>
    <x v="23"/>
    <x v="19"/>
    <n v="0"/>
    <x v="15"/>
    <n v="0"/>
    <x v="3"/>
    <n v="8.6999999999999993"/>
  </r>
  <r>
    <x v="1"/>
    <x v="1"/>
    <s v="B"/>
    <x v="8"/>
    <x v="1"/>
    <n v="0"/>
    <x v="1"/>
    <n v="0"/>
    <x v="1"/>
    <n v="0"/>
    <x v="1"/>
    <x v="24"/>
    <x v="1"/>
    <n v="0"/>
    <x v="1"/>
    <n v="0"/>
    <x v="1"/>
    <m/>
  </r>
  <r>
    <x v="1"/>
    <x v="1"/>
    <s v="C"/>
    <x v="8"/>
    <x v="1"/>
    <n v="0"/>
    <x v="1"/>
    <n v="0"/>
    <x v="1"/>
    <n v="0"/>
    <x v="1"/>
    <x v="2"/>
    <x v="1"/>
    <n v="0"/>
    <x v="1"/>
    <n v="0"/>
    <x v="1"/>
    <m/>
  </r>
  <r>
    <x v="1"/>
    <x v="22"/>
    <s v="A"/>
    <x v="3"/>
    <x v="9"/>
    <n v="0"/>
    <x v="2"/>
    <n v="0"/>
    <x v="2"/>
    <n v="0"/>
    <x v="2"/>
    <x v="25"/>
    <x v="20"/>
    <n v="350"/>
    <x v="14"/>
    <n v="0"/>
    <x v="3"/>
    <n v="6"/>
  </r>
  <r>
    <x v="1"/>
    <x v="1"/>
    <s v="B"/>
    <x v="0"/>
    <x v="1"/>
    <n v="0"/>
    <x v="1"/>
    <n v="0"/>
    <x v="1"/>
    <n v="0"/>
    <x v="1"/>
    <x v="26"/>
    <x v="1"/>
    <n v="350"/>
    <x v="1"/>
    <n v="0"/>
    <x v="1"/>
    <m/>
  </r>
  <r>
    <x v="1"/>
    <x v="1"/>
    <s v="C"/>
    <x v="3"/>
    <x v="1"/>
    <n v="0"/>
    <x v="1"/>
    <n v="0"/>
    <x v="1"/>
    <n v="0"/>
    <x v="1"/>
    <x v="25"/>
    <x v="1"/>
    <n v="0"/>
    <x v="1"/>
    <n v="0"/>
    <x v="1"/>
    <m/>
  </r>
  <r>
    <x v="1"/>
    <x v="23"/>
    <s v="A"/>
    <x v="3"/>
    <x v="9"/>
    <n v="0"/>
    <x v="2"/>
    <n v="0"/>
    <x v="2"/>
    <n v="0"/>
    <x v="2"/>
    <x v="1"/>
    <x v="21"/>
    <n v="250"/>
    <x v="16"/>
    <n v="0"/>
    <x v="3"/>
    <n v="7"/>
  </r>
  <r>
    <x v="1"/>
    <x v="1"/>
    <s v="B"/>
    <x v="3"/>
    <x v="1"/>
    <n v="0"/>
    <x v="1"/>
    <n v="0"/>
    <x v="1"/>
    <n v="0"/>
    <x v="1"/>
    <x v="1"/>
    <x v="1"/>
    <n v="350"/>
    <x v="1"/>
    <n v="0"/>
    <x v="1"/>
    <m/>
  </r>
  <r>
    <x v="1"/>
    <x v="1"/>
    <s v="C"/>
    <x v="0"/>
    <x v="1"/>
    <n v="0"/>
    <x v="1"/>
    <n v="0"/>
    <x v="1"/>
    <n v="0"/>
    <x v="1"/>
    <x v="1"/>
    <x v="1"/>
    <n v="250"/>
    <x v="1"/>
    <n v="0"/>
    <x v="1"/>
    <m/>
  </r>
  <r>
    <x v="2"/>
    <x v="24"/>
    <s v="A"/>
    <x v="3"/>
    <x v="5"/>
    <n v="0"/>
    <x v="2"/>
    <n v="0"/>
    <x v="2"/>
    <n v="0"/>
    <x v="2"/>
    <x v="1"/>
    <x v="22"/>
    <n v="350"/>
    <x v="17"/>
    <n v="0"/>
    <x v="3"/>
    <n v="7.2"/>
  </r>
  <r>
    <x v="1"/>
    <x v="1"/>
    <s v="B"/>
    <x v="0"/>
    <x v="1"/>
    <n v="0"/>
    <x v="1"/>
    <n v="0"/>
    <x v="1"/>
    <n v="0"/>
    <x v="1"/>
    <x v="2"/>
    <x v="1"/>
    <n v="150"/>
    <x v="1"/>
    <n v="0"/>
    <x v="1"/>
    <m/>
  </r>
  <r>
    <x v="1"/>
    <x v="1"/>
    <s v="C"/>
    <x v="2"/>
    <x v="1"/>
    <n v="0"/>
    <x v="1"/>
    <n v="0"/>
    <x v="1"/>
    <n v="0"/>
    <x v="1"/>
    <x v="7"/>
    <x v="1"/>
    <n v="250"/>
    <x v="1"/>
    <n v="0"/>
    <x v="1"/>
    <m/>
  </r>
  <r>
    <x v="1"/>
    <x v="25"/>
    <s v="A"/>
    <x v="2"/>
    <x v="0"/>
    <n v="0"/>
    <x v="2"/>
    <n v="0"/>
    <x v="2"/>
    <n v="0"/>
    <x v="2"/>
    <x v="27"/>
    <x v="15"/>
    <n v="0"/>
    <x v="18"/>
    <n v="0"/>
    <x v="8"/>
    <n v="8"/>
  </r>
  <r>
    <x v="1"/>
    <x v="1"/>
    <s v="B"/>
    <x v="3"/>
    <x v="1"/>
    <n v="0"/>
    <x v="1"/>
    <n v="0"/>
    <x v="1"/>
    <n v="0"/>
    <x v="1"/>
    <x v="28"/>
    <x v="1"/>
    <n v="50"/>
    <x v="1"/>
    <n v="140"/>
    <x v="1"/>
    <m/>
  </r>
  <r>
    <x v="1"/>
    <x v="1"/>
    <s v="C"/>
    <x v="5"/>
    <x v="1"/>
    <n v="0"/>
    <x v="1"/>
    <n v="0"/>
    <x v="1"/>
    <n v="0"/>
    <x v="1"/>
    <x v="25"/>
    <x v="1"/>
    <n v="100"/>
    <x v="1"/>
    <n v="0"/>
    <x v="1"/>
    <m/>
  </r>
  <r>
    <x v="1"/>
    <x v="26"/>
    <s v="A"/>
    <x v="9"/>
    <x v="10"/>
    <n v="0"/>
    <x v="2"/>
    <n v="0"/>
    <x v="2"/>
    <n v="0"/>
    <x v="2"/>
    <x v="0"/>
    <x v="23"/>
    <n v="250"/>
    <x v="19"/>
    <n v="0"/>
    <x v="3"/>
    <n v="9"/>
  </r>
  <r>
    <x v="1"/>
    <x v="1"/>
    <s v="B"/>
    <x v="9"/>
    <x v="1"/>
    <n v="0"/>
    <x v="1"/>
    <n v="0"/>
    <x v="1"/>
    <n v="0"/>
    <x v="1"/>
    <x v="0"/>
    <x v="1"/>
    <n v="750"/>
    <x v="1"/>
    <n v="0"/>
    <x v="1"/>
    <m/>
  </r>
  <r>
    <x v="1"/>
    <x v="1"/>
    <s v="C"/>
    <x v="2"/>
    <x v="1"/>
    <n v="0"/>
    <x v="1"/>
    <n v="0"/>
    <x v="1"/>
    <n v="0"/>
    <x v="1"/>
    <x v="0"/>
    <x v="1"/>
    <n v="350"/>
    <x v="1"/>
    <n v="0"/>
    <x v="1"/>
    <m/>
  </r>
  <r>
    <x v="1"/>
    <x v="27"/>
    <s v="A"/>
    <x v="3"/>
    <x v="11"/>
    <n v="0"/>
    <x v="2"/>
    <n v="0"/>
    <x v="2"/>
    <n v="0"/>
    <x v="2"/>
    <x v="29"/>
    <x v="24"/>
    <n v="600"/>
    <x v="2"/>
    <n v="0"/>
    <x v="3"/>
    <n v="6.5"/>
  </r>
  <r>
    <x v="1"/>
    <x v="1"/>
    <s v="B"/>
    <x v="10"/>
    <x v="1"/>
    <n v="0"/>
    <x v="1"/>
    <n v="0"/>
    <x v="1"/>
    <n v="0"/>
    <x v="1"/>
    <x v="30"/>
    <x v="1"/>
    <n v="600"/>
    <x v="1"/>
    <n v="0"/>
    <x v="1"/>
    <m/>
  </r>
  <r>
    <x v="1"/>
    <x v="1"/>
    <s v="C"/>
    <x v="2"/>
    <x v="1"/>
    <n v="0"/>
    <x v="1"/>
    <n v="0"/>
    <x v="1"/>
    <n v="0"/>
    <x v="1"/>
    <x v="0"/>
    <x v="1"/>
    <n v="450"/>
    <x v="1"/>
    <n v="0"/>
    <x v="1"/>
    <m/>
  </r>
  <r>
    <x v="1"/>
    <x v="28"/>
    <s v="A"/>
    <x v="4"/>
    <x v="12"/>
    <n v="0"/>
    <x v="2"/>
    <n v="0"/>
    <x v="2"/>
    <n v="0"/>
    <x v="2"/>
    <x v="31"/>
    <x v="25"/>
    <n v="450"/>
    <x v="20"/>
    <n v="0"/>
    <x v="3"/>
    <n v="8"/>
  </r>
  <r>
    <x v="1"/>
    <x v="1"/>
    <s v="B"/>
    <x v="0"/>
    <x v="1"/>
    <n v="0"/>
    <x v="1"/>
    <n v="0"/>
    <x v="1"/>
    <n v="0"/>
    <x v="1"/>
    <x v="32"/>
    <x v="1"/>
    <n v="500"/>
    <x v="1"/>
    <n v="0"/>
    <x v="1"/>
    <m/>
  </r>
  <r>
    <x v="1"/>
    <x v="1"/>
    <s v="C"/>
    <x v="6"/>
    <x v="1"/>
    <n v="0"/>
    <x v="1"/>
    <n v="0"/>
    <x v="1"/>
    <n v="0"/>
    <x v="1"/>
    <x v="33"/>
    <x v="1"/>
    <n v="250"/>
    <x v="1"/>
    <n v="0"/>
    <x v="1"/>
    <m/>
  </r>
  <r>
    <x v="1"/>
    <x v="29"/>
    <s v="A"/>
    <x v="11"/>
    <x v="13"/>
    <n v="0"/>
    <x v="2"/>
    <n v="0"/>
    <x v="2"/>
    <n v="0"/>
    <x v="2"/>
    <x v="34"/>
    <x v="26"/>
    <n v="350"/>
    <x v="21"/>
    <n v="0"/>
    <x v="3"/>
    <n v="7"/>
  </r>
  <r>
    <x v="1"/>
    <x v="1"/>
    <s v="B"/>
    <x v="11"/>
    <x v="1"/>
    <n v="0"/>
    <x v="1"/>
    <n v="0"/>
    <x v="1"/>
    <n v="0"/>
    <x v="1"/>
    <x v="34"/>
    <x v="1"/>
    <n v="350"/>
    <x v="1"/>
    <n v="0"/>
    <x v="1"/>
    <m/>
  </r>
  <r>
    <x v="1"/>
    <x v="1"/>
    <s v="C"/>
    <x v="11"/>
    <x v="1"/>
    <n v="0"/>
    <x v="1"/>
    <n v="0"/>
    <x v="1"/>
    <n v="0"/>
    <x v="1"/>
    <x v="34"/>
    <x v="1"/>
    <n v="350"/>
    <x v="1"/>
    <n v="0"/>
    <x v="1"/>
    <m/>
  </r>
  <r>
    <x v="1"/>
    <x v="30"/>
    <s v="A"/>
    <x v="11"/>
    <x v="13"/>
    <n v="0"/>
    <x v="2"/>
    <n v="0"/>
    <x v="2"/>
    <n v="0"/>
    <x v="2"/>
    <x v="35"/>
    <x v="27"/>
    <n v="350"/>
    <x v="21"/>
    <n v="0"/>
    <x v="3"/>
    <n v="6"/>
  </r>
  <r>
    <x v="1"/>
    <x v="1"/>
    <s v="B"/>
    <x v="11"/>
    <x v="1"/>
    <n v="0"/>
    <x v="1"/>
    <n v="0"/>
    <x v="1"/>
    <n v="0"/>
    <x v="1"/>
    <x v="35"/>
    <x v="1"/>
    <n v="350"/>
    <x v="1"/>
    <n v="0"/>
    <x v="1"/>
    <m/>
  </r>
  <r>
    <x v="1"/>
    <x v="1"/>
    <s v="C"/>
    <x v="11"/>
    <x v="1"/>
    <n v="0"/>
    <x v="1"/>
    <n v="0"/>
    <x v="1"/>
    <n v="0"/>
    <x v="1"/>
    <x v="35"/>
    <x v="1"/>
    <n v="350"/>
    <x v="1"/>
    <n v="0"/>
    <x v="1"/>
    <m/>
  </r>
  <r>
    <x v="1"/>
    <x v="31"/>
    <s v="A"/>
    <x v="11"/>
    <x v="14"/>
    <n v="0"/>
    <x v="2"/>
    <n v="0"/>
    <x v="2"/>
    <n v="0"/>
    <x v="2"/>
    <x v="36"/>
    <x v="28"/>
    <n v="250"/>
    <x v="22"/>
    <n v="0"/>
    <x v="3"/>
    <n v="6.5"/>
  </r>
  <r>
    <x v="1"/>
    <x v="1"/>
    <s v="B"/>
    <x v="6"/>
    <x v="1"/>
    <n v="0"/>
    <x v="1"/>
    <n v="0"/>
    <x v="1"/>
    <n v="0"/>
    <x v="1"/>
    <x v="36"/>
    <x v="1"/>
    <n v="250"/>
    <x v="1"/>
    <n v="0"/>
    <x v="1"/>
    <m/>
  </r>
  <r>
    <x v="1"/>
    <x v="1"/>
    <s v="C"/>
    <x v="2"/>
    <x v="1"/>
    <n v="0"/>
    <x v="1"/>
    <n v="0"/>
    <x v="1"/>
    <n v="0"/>
    <x v="1"/>
    <x v="29"/>
    <x v="1"/>
    <n v="100"/>
    <x v="1"/>
    <n v="0"/>
    <x v="1"/>
    <m/>
  </r>
  <r>
    <x v="1"/>
    <x v="32"/>
    <s v="A"/>
    <x v="2"/>
    <x v="3"/>
    <n v="0"/>
    <x v="2"/>
    <n v="0"/>
    <x v="2"/>
    <n v="0"/>
    <x v="2"/>
    <x v="29"/>
    <x v="29"/>
    <n v="50"/>
    <x v="10"/>
    <n v="0"/>
    <x v="3"/>
    <n v="7.2"/>
  </r>
  <r>
    <x v="1"/>
    <x v="1"/>
    <s v="B"/>
    <x v="3"/>
    <x v="1"/>
    <n v="0"/>
    <x v="1"/>
    <n v="0"/>
    <x v="1"/>
    <n v="0"/>
    <x v="1"/>
    <x v="30"/>
    <x v="1"/>
    <n v="250"/>
    <x v="1"/>
    <n v="0"/>
    <x v="1"/>
    <m/>
  </r>
  <r>
    <x v="1"/>
    <x v="1"/>
    <s v="C"/>
    <x v="3"/>
    <x v="1"/>
    <n v="0"/>
    <x v="1"/>
    <n v="0"/>
    <x v="1"/>
    <n v="0"/>
    <x v="1"/>
    <x v="30"/>
    <x v="1"/>
    <n v="350"/>
    <x v="1"/>
    <n v="0"/>
    <x v="1"/>
    <m/>
  </r>
  <r>
    <x v="1"/>
    <x v="33"/>
    <s v="A"/>
    <x v="2"/>
    <x v="15"/>
    <n v="0"/>
    <x v="2"/>
    <n v="0"/>
    <x v="2"/>
    <n v="0"/>
    <x v="2"/>
    <x v="37"/>
    <x v="30"/>
    <n v="300"/>
    <x v="16"/>
    <n v="0"/>
    <x v="3"/>
    <n v="6"/>
  </r>
  <r>
    <x v="1"/>
    <x v="1"/>
    <s v="B"/>
    <x v="12"/>
    <x v="1"/>
    <n v="0"/>
    <x v="1"/>
    <n v="0"/>
    <x v="1"/>
    <n v="0"/>
    <x v="1"/>
    <x v="34"/>
    <x v="1"/>
    <n v="200"/>
    <x v="1"/>
    <n v="0"/>
    <x v="1"/>
    <m/>
  </r>
  <r>
    <x v="1"/>
    <x v="1"/>
    <s v="C"/>
    <x v="6"/>
    <x v="1"/>
    <n v="0"/>
    <x v="1"/>
    <n v="0"/>
    <x v="1"/>
    <n v="0"/>
    <x v="1"/>
    <x v="1"/>
    <x v="1"/>
    <n v="350"/>
    <x v="1"/>
    <n v="0"/>
    <x v="1"/>
    <m/>
  </r>
  <r>
    <x v="1"/>
    <x v="34"/>
    <s v="A"/>
    <x v="2"/>
    <x v="16"/>
    <n v="0"/>
    <x v="2"/>
    <n v="0"/>
    <x v="2"/>
    <n v="0"/>
    <x v="2"/>
    <x v="4"/>
    <x v="31"/>
    <n v="300"/>
    <x v="9"/>
    <n v="0"/>
    <x v="3"/>
    <n v="6"/>
  </r>
  <r>
    <x v="1"/>
    <x v="1"/>
    <s v="B"/>
    <x v="6"/>
    <x v="1"/>
    <n v="0"/>
    <x v="1"/>
    <n v="0"/>
    <x v="1"/>
    <n v="0"/>
    <x v="1"/>
    <x v="4"/>
    <x v="1"/>
    <n v="300"/>
    <x v="1"/>
    <n v="0"/>
    <x v="1"/>
    <m/>
  </r>
  <r>
    <x v="1"/>
    <x v="1"/>
    <s v="C"/>
    <x v="13"/>
    <x v="1"/>
    <n v="0"/>
    <x v="1"/>
    <n v="0"/>
    <x v="1"/>
    <n v="0"/>
    <x v="1"/>
    <x v="4"/>
    <x v="1"/>
    <n v="300"/>
    <x v="1"/>
    <n v="0"/>
    <x v="1"/>
    <m/>
  </r>
  <r>
    <x v="1"/>
    <x v="35"/>
    <s v="A"/>
    <x v="6"/>
    <x v="17"/>
    <n v="0"/>
    <x v="2"/>
    <n v="0"/>
    <x v="2"/>
    <n v="0"/>
    <x v="2"/>
    <x v="4"/>
    <x v="32"/>
    <n v="300"/>
    <x v="8"/>
    <n v="0"/>
    <x v="3"/>
    <n v="7"/>
  </r>
  <r>
    <x v="1"/>
    <x v="1"/>
    <s v="B"/>
    <x v="14"/>
    <x v="1"/>
    <n v="0"/>
    <x v="1"/>
    <n v="0"/>
    <x v="1"/>
    <n v="0"/>
    <x v="1"/>
    <x v="38"/>
    <x v="1"/>
    <n v="250"/>
    <x v="1"/>
    <n v="0"/>
    <x v="1"/>
    <m/>
  </r>
  <r>
    <x v="1"/>
    <x v="1"/>
    <s v="C"/>
    <x v="13"/>
    <x v="1"/>
    <n v="0"/>
    <x v="1"/>
    <n v="0"/>
    <x v="1"/>
    <n v="0"/>
    <x v="1"/>
    <x v="4"/>
    <x v="1"/>
    <n v="250"/>
    <x v="1"/>
    <n v="0"/>
    <x v="1"/>
    <m/>
  </r>
  <r>
    <x v="1"/>
    <x v="36"/>
    <s v="A"/>
    <x v="13"/>
    <x v="17"/>
    <n v="0"/>
    <x v="2"/>
    <n v="0"/>
    <x v="2"/>
    <n v="0"/>
    <x v="2"/>
    <x v="0"/>
    <x v="33"/>
    <n v="300"/>
    <x v="4"/>
    <n v="0"/>
    <x v="3"/>
    <n v="7"/>
  </r>
  <r>
    <x v="1"/>
    <x v="1"/>
    <s v="B"/>
    <x v="13"/>
    <x v="1"/>
    <n v="0"/>
    <x v="1"/>
    <n v="0"/>
    <x v="1"/>
    <n v="0"/>
    <x v="1"/>
    <x v="25"/>
    <x v="1"/>
    <n v="300"/>
    <x v="1"/>
    <n v="0"/>
    <x v="1"/>
    <m/>
  </r>
  <r>
    <x v="1"/>
    <x v="1"/>
    <s v="C"/>
    <x v="13"/>
    <x v="1"/>
    <n v="0"/>
    <x v="1"/>
    <n v="0"/>
    <x v="1"/>
    <n v="0"/>
    <x v="1"/>
    <x v="25"/>
    <x v="1"/>
    <n v="350"/>
    <x v="1"/>
    <n v="0"/>
    <x v="1"/>
    <m/>
  </r>
  <r>
    <x v="1"/>
    <x v="37"/>
    <s v="A"/>
    <x v="13"/>
    <x v="17"/>
    <n v="0"/>
    <x v="2"/>
    <n v="0"/>
    <x v="2"/>
    <n v="0"/>
    <x v="2"/>
    <x v="25"/>
    <x v="34"/>
    <n v="100"/>
    <x v="23"/>
    <n v="0"/>
    <x v="3"/>
    <n v="6.5"/>
  </r>
  <r>
    <x v="1"/>
    <x v="1"/>
    <s v="B"/>
    <x v="13"/>
    <x v="1"/>
    <n v="0"/>
    <x v="1"/>
    <n v="0"/>
    <x v="1"/>
    <n v="0"/>
    <x v="1"/>
    <x v="25"/>
    <x v="1"/>
    <n v="100"/>
    <x v="1"/>
    <n v="0"/>
    <x v="1"/>
    <m/>
  </r>
  <r>
    <x v="1"/>
    <x v="1"/>
    <s v="C"/>
    <x v="13"/>
    <x v="1"/>
    <n v="0"/>
    <x v="1"/>
    <n v="0"/>
    <x v="1"/>
    <n v="0"/>
    <x v="1"/>
    <x v="25"/>
    <x v="1"/>
    <n v="100"/>
    <x v="1"/>
    <n v="0"/>
    <x v="1"/>
    <m/>
  </r>
  <r>
    <x v="1"/>
    <x v="38"/>
    <s v="A"/>
    <x v="15"/>
    <x v="18"/>
    <n v="0"/>
    <x v="2"/>
    <n v="0"/>
    <x v="2"/>
    <n v="0"/>
    <x v="2"/>
    <x v="39"/>
    <x v="35"/>
    <n v="100"/>
    <x v="11"/>
    <n v="0"/>
    <x v="3"/>
    <n v="7"/>
  </r>
  <r>
    <x v="1"/>
    <x v="1"/>
    <s v="B"/>
    <x v="15"/>
    <x v="1"/>
    <n v="0"/>
    <x v="1"/>
    <n v="0"/>
    <x v="1"/>
    <n v="0"/>
    <x v="1"/>
    <x v="0"/>
    <x v="1"/>
    <n v="100"/>
    <x v="1"/>
    <n v="0"/>
    <x v="1"/>
    <m/>
  </r>
  <r>
    <x v="1"/>
    <x v="1"/>
    <s v="C"/>
    <x v="15"/>
    <x v="1"/>
    <n v="0"/>
    <x v="1"/>
    <n v="0"/>
    <x v="1"/>
    <n v="0"/>
    <x v="1"/>
    <x v="40"/>
    <x v="1"/>
    <n v="0"/>
    <x v="1"/>
    <n v="0"/>
    <x v="1"/>
    <m/>
  </r>
  <r>
    <x v="1"/>
    <x v="39"/>
    <s v="A"/>
    <x v="15"/>
    <x v="18"/>
    <n v="0"/>
    <x v="2"/>
    <n v="0"/>
    <x v="2"/>
    <n v="0"/>
    <x v="2"/>
    <x v="41"/>
    <x v="36"/>
    <n v="200"/>
    <x v="24"/>
    <n v="0"/>
    <x v="3"/>
    <n v="6"/>
  </r>
  <r>
    <x v="1"/>
    <x v="1"/>
    <s v="B"/>
    <x v="15"/>
    <x v="1"/>
    <n v="0"/>
    <x v="1"/>
    <n v="0"/>
    <x v="1"/>
    <n v="0"/>
    <x v="1"/>
    <x v="42"/>
    <x v="1"/>
    <n v="100"/>
    <x v="1"/>
    <n v="0"/>
    <x v="1"/>
    <m/>
  </r>
  <r>
    <x v="1"/>
    <x v="1"/>
    <s v="C"/>
    <x v="15"/>
    <x v="1"/>
    <n v="0"/>
    <x v="1"/>
    <n v="0"/>
    <x v="1"/>
    <n v="0"/>
    <x v="1"/>
    <x v="36"/>
    <x v="1"/>
    <n v="100"/>
    <x v="1"/>
    <n v="0"/>
    <x v="1"/>
    <m/>
  </r>
  <r>
    <x v="1"/>
    <x v="40"/>
    <s v="A"/>
    <x v="15"/>
    <x v="19"/>
    <n v="0"/>
    <x v="2"/>
    <n v="0"/>
    <x v="2"/>
    <n v="0"/>
    <x v="2"/>
    <x v="31"/>
    <x v="37"/>
    <n v="250"/>
    <x v="25"/>
    <n v="0"/>
    <x v="3"/>
    <n v="6.5"/>
  </r>
  <r>
    <x v="1"/>
    <x v="1"/>
    <s v="B"/>
    <x v="6"/>
    <x v="1"/>
    <n v="0"/>
    <x v="1"/>
    <n v="0"/>
    <x v="1"/>
    <n v="0"/>
    <x v="1"/>
    <x v="0"/>
    <x v="1"/>
    <n v="0"/>
    <x v="1"/>
    <n v="0"/>
    <x v="1"/>
    <m/>
  </r>
  <r>
    <x v="1"/>
    <x v="1"/>
    <s v="C"/>
    <x v="13"/>
    <x v="1"/>
    <n v="0"/>
    <x v="1"/>
    <n v="0"/>
    <x v="1"/>
    <n v="0"/>
    <x v="1"/>
    <x v="0"/>
    <x v="1"/>
    <n v="0"/>
    <x v="1"/>
    <n v="0"/>
    <x v="1"/>
    <m/>
  </r>
  <r>
    <x v="1"/>
    <x v="41"/>
    <s v="A"/>
    <x v="15"/>
    <x v="18"/>
    <n v="0"/>
    <x v="2"/>
    <n v="0"/>
    <x v="2"/>
    <n v="0"/>
    <x v="2"/>
    <x v="0"/>
    <x v="23"/>
    <n v="250"/>
    <x v="26"/>
    <n v="0"/>
    <x v="3"/>
    <n v="7.5"/>
  </r>
  <r>
    <x v="1"/>
    <x v="1"/>
    <s v="B"/>
    <x v="15"/>
    <x v="1"/>
    <n v="0"/>
    <x v="1"/>
    <n v="0"/>
    <x v="1"/>
    <n v="0"/>
    <x v="1"/>
    <x v="0"/>
    <x v="1"/>
    <n v="100"/>
    <x v="1"/>
    <n v="0"/>
    <x v="1"/>
    <m/>
  </r>
  <r>
    <x v="1"/>
    <x v="1"/>
    <s v="C"/>
    <x v="15"/>
    <x v="1"/>
    <n v="0"/>
    <x v="1"/>
    <n v="0"/>
    <x v="1"/>
    <n v="0"/>
    <x v="1"/>
    <x v="0"/>
    <x v="1"/>
    <n v="100"/>
    <x v="1"/>
    <n v="0"/>
    <x v="1"/>
    <m/>
  </r>
  <r>
    <x v="1"/>
    <x v="42"/>
    <s v="A"/>
    <x v="15"/>
    <x v="18"/>
    <n v="0"/>
    <x v="2"/>
    <n v="0"/>
    <x v="2"/>
    <n v="0"/>
    <x v="2"/>
    <x v="12"/>
    <x v="38"/>
    <n v="150"/>
    <x v="26"/>
    <n v="0"/>
    <x v="3"/>
    <n v="6"/>
  </r>
  <r>
    <x v="1"/>
    <x v="1"/>
    <s v="B"/>
    <x v="15"/>
    <x v="1"/>
    <n v="0"/>
    <x v="1"/>
    <n v="0"/>
    <x v="1"/>
    <n v="0"/>
    <x v="1"/>
    <x v="12"/>
    <x v="1"/>
    <n v="150"/>
    <x v="1"/>
    <n v="0"/>
    <x v="1"/>
    <m/>
  </r>
  <r>
    <x v="1"/>
    <x v="1"/>
    <s v="C"/>
    <x v="15"/>
    <x v="1"/>
    <n v="0"/>
    <x v="1"/>
    <n v="0"/>
    <x v="1"/>
    <n v="0"/>
    <x v="1"/>
    <x v="12"/>
    <x v="1"/>
    <n v="150"/>
    <x v="1"/>
    <n v="0"/>
    <x v="1"/>
    <m/>
  </r>
  <r>
    <x v="1"/>
    <x v="43"/>
    <s v="A"/>
    <x v="16"/>
    <x v="20"/>
    <n v="0"/>
    <x v="2"/>
    <n v="0"/>
    <x v="2"/>
    <n v="0"/>
    <x v="2"/>
    <x v="40"/>
    <x v="31"/>
    <n v="0"/>
    <x v="15"/>
    <n v="0"/>
    <x v="3"/>
    <n v="5.5"/>
  </r>
  <r>
    <x v="1"/>
    <x v="1"/>
    <s v="B"/>
    <x v="16"/>
    <x v="1"/>
    <n v="0"/>
    <x v="1"/>
    <n v="0"/>
    <x v="1"/>
    <n v="0"/>
    <x v="1"/>
    <x v="40"/>
    <x v="1"/>
    <n v="0"/>
    <x v="1"/>
    <n v="0"/>
    <x v="1"/>
    <m/>
  </r>
  <r>
    <x v="1"/>
    <x v="1"/>
    <s v="C"/>
    <x v="15"/>
    <x v="1"/>
    <n v="0"/>
    <x v="1"/>
    <n v="0"/>
    <x v="1"/>
    <n v="0"/>
    <x v="1"/>
    <x v="16"/>
    <x v="1"/>
    <n v="0"/>
    <x v="1"/>
    <n v="0"/>
    <x v="1"/>
    <m/>
  </r>
  <r>
    <x v="1"/>
    <x v="44"/>
    <s v="A"/>
    <x v="15"/>
    <x v="18"/>
    <n v="0"/>
    <x v="2"/>
    <n v="0"/>
    <x v="2"/>
    <n v="0"/>
    <x v="2"/>
    <x v="25"/>
    <x v="34"/>
    <n v="0"/>
    <x v="15"/>
    <n v="0"/>
    <x v="3"/>
    <n v="6"/>
  </r>
  <r>
    <x v="1"/>
    <x v="1"/>
    <s v="B"/>
    <x v="15"/>
    <x v="1"/>
    <n v="0"/>
    <x v="1"/>
    <n v="0"/>
    <x v="1"/>
    <n v="0"/>
    <x v="1"/>
    <x v="25"/>
    <x v="1"/>
    <n v="0"/>
    <x v="1"/>
    <n v="0"/>
    <x v="1"/>
    <m/>
  </r>
  <r>
    <x v="1"/>
    <x v="1"/>
    <s v="C"/>
    <x v="15"/>
    <x v="1"/>
    <n v="0"/>
    <x v="1"/>
    <n v="0"/>
    <x v="1"/>
    <n v="0"/>
    <x v="1"/>
    <x v="25"/>
    <x v="1"/>
    <n v="0"/>
    <x v="1"/>
    <n v="0"/>
    <x v="1"/>
    <m/>
  </r>
  <r>
    <x v="1"/>
    <x v="45"/>
    <s v="A"/>
    <x v="6"/>
    <x v="21"/>
    <n v="0"/>
    <x v="2"/>
    <n v="0"/>
    <x v="2"/>
    <n v="0"/>
    <x v="2"/>
    <x v="1"/>
    <x v="39"/>
    <n v="0"/>
    <x v="15"/>
    <n v="0"/>
    <x v="3"/>
    <n v="6.5"/>
  </r>
  <r>
    <x v="1"/>
    <x v="1"/>
    <s v="B"/>
    <x v="3"/>
    <x v="1"/>
    <n v="0"/>
    <x v="1"/>
    <n v="0"/>
    <x v="1"/>
    <n v="0"/>
    <x v="1"/>
    <x v="7"/>
    <x v="1"/>
    <n v="0"/>
    <x v="1"/>
    <n v="0"/>
    <x v="1"/>
    <m/>
  </r>
  <r>
    <x v="1"/>
    <x v="1"/>
    <s v="C"/>
    <x v="17"/>
    <x v="1"/>
    <n v="0"/>
    <x v="1"/>
    <n v="0"/>
    <x v="1"/>
    <n v="0"/>
    <x v="1"/>
    <x v="7"/>
    <x v="1"/>
    <n v="0"/>
    <x v="1"/>
    <n v="0"/>
    <x v="1"/>
    <m/>
  </r>
  <r>
    <x v="1"/>
    <x v="46"/>
    <s v="A"/>
    <x v="15"/>
    <x v="18"/>
    <n v="0"/>
    <x v="2"/>
    <n v="0"/>
    <x v="2"/>
    <n v="0"/>
    <x v="2"/>
    <x v="9"/>
    <x v="40"/>
    <n v="0"/>
    <x v="15"/>
    <n v="140"/>
    <x v="8"/>
    <n v="6"/>
  </r>
  <r>
    <x v="1"/>
    <x v="1"/>
    <s v="B"/>
    <x v="15"/>
    <x v="1"/>
    <n v="0"/>
    <x v="1"/>
    <n v="0"/>
    <x v="1"/>
    <n v="0"/>
    <x v="1"/>
    <x v="43"/>
    <x v="1"/>
    <n v="0"/>
    <x v="1"/>
    <n v="0"/>
    <x v="1"/>
    <m/>
  </r>
  <r>
    <x v="1"/>
    <x v="1"/>
    <s v="C"/>
    <x v="15"/>
    <x v="1"/>
    <n v="0"/>
    <x v="1"/>
    <n v="0"/>
    <x v="1"/>
    <n v="0"/>
    <x v="1"/>
    <x v="7"/>
    <x v="1"/>
    <n v="0"/>
    <x v="1"/>
    <n v="0"/>
    <x v="1"/>
    <m/>
  </r>
  <r>
    <x v="1"/>
    <x v="47"/>
    <s v="A"/>
    <x v="18"/>
    <x v="22"/>
    <n v="0"/>
    <x v="2"/>
    <n v="0"/>
    <x v="2"/>
    <n v="0"/>
    <x v="2"/>
    <x v="2"/>
    <x v="41"/>
    <n v="0"/>
    <x v="15"/>
    <n v="0"/>
    <x v="3"/>
    <n v="6.5"/>
  </r>
  <r>
    <x v="1"/>
    <x v="1"/>
    <s v="B"/>
    <x v="18"/>
    <x v="1"/>
    <n v="0"/>
    <x v="1"/>
    <n v="0"/>
    <x v="1"/>
    <n v="0"/>
    <x v="1"/>
    <x v="2"/>
    <x v="1"/>
    <n v="0"/>
    <x v="1"/>
    <n v="0"/>
    <x v="1"/>
    <m/>
  </r>
  <r>
    <x v="1"/>
    <x v="1"/>
    <s v="C"/>
    <x v="7"/>
    <x v="1"/>
    <n v="0"/>
    <x v="1"/>
    <n v="0"/>
    <x v="1"/>
    <n v="0"/>
    <x v="1"/>
    <x v="2"/>
    <x v="1"/>
    <n v="0"/>
    <x v="1"/>
    <n v="0"/>
    <x v="1"/>
    <m/>
  </r>
  <r>
    <x v="1"/>
    <x v="48"/>
    <s v="A"/>
    <x v="3"/>
    <x v="23"/>
    <n v="0"/>
    <x v="2"/>
    <n v="0"/>
    <x v="2"/>
    <n v="0"/>
    <x v="2"/>
    <x v="2"/>
    <x v="41"/>
    <n v="0"/>
    <x v="11"/>
    <n v="0"/>
    <x v="3"/>
    <n v="6.5"/>
  </r>
  <r>
    <x v="1"/>
    <x v="1"/>
    <s v="B"/>
    <x v="19"/>
    <x v="1"/>
    <n v="0"/>
    <x v="1"/>
    <n v="0"/>
    <x v="1"/>
    <n v="0"/>
    <x v="1"/>
    <x v="2"/>
    <x v="1"/>
    <n v="0"/>
    <x v="1"/>
    <n v="0"/>
    <x v="1"/>
    <m/>
  </r>
  <r>
    <x v="1"/>
    <x v="1"/>
    <s v="C"/>
    <x v="19"/>
    <x v="1"/>
    <n v="0"/>
    <x v="1"/>
    <n v="0"/>
    <x v="1"/>
    <n v="0"/>
    <x v="1"/>
    <x v="2"/>
    <x v="1"/>
    <n v="200"/>
    <x v="1"/>
    <n v="0"/>
    <x v="1"/>
    <m/>
  </r>
  <r>
    <x v="1"/>
    <x v="49"/>
    <s v="A"/>
    <x v="20"/>
    <x v="17"/>
    <n v="0"/>
    <x v="2"/>
    <n v="0"/>
    <x v="2"/>
    <n v="0"/>
    <x v="2"/>
    <x v="24"/>
    <x v="42"/>
    <n v="300"/>
    <x v="17"/>
    <n v="0"/>
    <x v="3"/>
    <n v="6"/>
  </r>
  <r>
    <x v="1"/>
    <x v="1"/>
    <s v="B"/>
    <x v="20"/>
    <x v="1"/>
    <n v="0"/>
    <x v="1"/>
    <n v="0"/>
    <x v="1"/>
    <n v="0"/>
    <x v="1"/>
    <x v="24"/>
    <x v="1"/>
    <n v="100"/>
    <x v="1"/>
    <n v="0"/>
    <x v="1"/>
    <m/>
  </r>
  <r>
    <x v="1"/>
    <x v="1"/>
    <s v="C"/>
    <x v="19"/>
    <x v="1"/>
    <n v="0"/>
    <x v="1"/>
    <n v="0"/>
    <x v="1"/>
    <n v="0"/>
    <x v="1"/>
    <x v="4"/>
    <x v="1"/>
    <n v="350"/>
    <x v="1"/>
    <n v="0"/>
    <x v="1"/>
    <m/>
  </r>
  <r>
    <x v="1"/>
    <x v="50"/>
    <s v="A"/>
    <x v="1"/>
    <x v="24"/>
    <n v="0"/>
    <x v="2"/>
    <n v="0"/>
    <x v="2"/>
    <n v="0"/>
    <x v="2"/>
    <x v="40"/>
    <x v="43"/>
    <n v="0"/>
    <x v="23"/>
    <n v="0"/>
    <x v="9"/>
    <n v="6.2"/>
  </r>
  <r>
    <x v="1"/>
    <x v="1"/>
    <s v="B"/>
    <x v="21"/>
    <x v="1"/>
    <n v="0"/>
    <x v="1"/>
    <n v="0"/>
    <x v="1"/>
    <n v="0"/>
    <x v="1"/>
    <x v="7"/>
    <x v="1"/>
    <n v="0"/>
    <x v="1"/>
    <n v="105"/>
    <x v="1"/>
    <m/>
  </r>
  <r>
    <x v="1"/>
    <x v="1"/>
    <s v="C"/>
    <x v="22"/>
    <x v="1"/>
    <n v="0"/>
    <x v="1"/>
    <n v="0"/>
    <x v="1"/>
    <n v="0"/>
    <x v="1"/>
    <x v="36"/>
    <x v="1"/>
    <n v="300"/>
    <x v="1"/>
    <n v="105"/>
    <x v="1"/>
    <m/>
  </r>
  <r>
    <x v="1"/>
    <x v="51"/>
    <s v="A"/>
    <x v="11"/>
    <x v="25"/>
    <n v="0"/>
    <x v="2"/>
    <n v="0"/>
    <x v="2"/>
    <n v="0"/>
    <x v="2"/>
    <x v="44"/>
    <x v="44"/>
    <n v="100"/>
    <x v="12"/>
    <n v="0"/>
    <x v="10"/>
    <n v="6.5"/>
  </r>
  <r>
    <x v="1"/>
    <x v="1"/>
    <s v="B"/>
    <x v="23"/>
    <x v="1"/>
    <n v="0"/>
    <x v="1"/>
    <n v="0"/>
    <x v="1"/>
    <n v="0"/>
    <x v="1"/>
    <x v="32"/>
    <x v="1"/>
    <n v="0"/>
    <x v="1"/>
    <n v="240"/>
    <x v="1"/>
    <m/>
  </r>
  <r>
    <x v="1"/>
    <x v="1"/>
    <s v="C"/>
    <x v="23"/>
    <x v="1"/>
    <n v="0"/>
    <x v="1"/>
    <n v="0"/>
    <x v="1"/>
    <n v="0"/>
    <x v="1"/>
    <x v="45"/>
    <x v="1"/>
    <n v="400"/>
    <x v="1"/>
    <n v="180"/>
    <x v="1"/>
    <m/>
  </r>
  <r>
    <x v="1"/>
    <x v="52"/>
    <s v="A"/>
    <x v="24"/>
    <x v="26"/>
    <n v="0"/>
    <x v="2"/>
    <n v="0"/>
    <x v="2"/>
    <n v="0"/>
    <x v="2"/>
    <x v="46"/>
    <x v="45"/>
    <n v="1000"/>
    <x v="27"/>
    <n v="280"/>
    <x v="11"/>
    <n v="6"/>
  </r>
  <r>
    <x v="1"/>
    <x v="1"/>
    <s v="B"/>
    <x v="23"/>
    <x v="1"/>
    <n v="0"/>
    <x v="1"/>
    <n v="0"/>
    <x v="1"/>
    <n v="0"/>
    <x v="1"/>
    <x v="45"/>
    <x v="1"/>
    <n v="750"/>
    <x v="1"/>
    <n v="140"/>
    <x v="1"/>
    <m/>
  </r>
  <r>
    <x v="1"/>
    <x v="1"/>
    <s v="C"/>
    <x v="23"/>
    <x v="1"/>
    <n v="0"/>
    <x v="1"/>
    <n v="0"/>
    <x v="1"/>
    <n v="0"/>
    <x v="1"/>
    <x v="47"/>
    <x v="1"/>
    <n v="500"/>
    <x v="1"/>
    <n v="140"/>
    <x v="1"/>
    <m/>
  </r>
  <r>
    <x v="1"/>
    <x v="53"/>
    <s v="A"/>
    <x v="23"/>
    <x v="27"/>
    <n v="0"/>
    <x v="2"/>
    <n v="0"/>
    <x v="2"/>
    <n v="0"/>
    <x v="2"/>
    <x v="45"/>
    <x v="46"/>
    <n v="800"/>
    <x v="28"/>
    <n v="420"/>
    <x v="10"/>
    <n v="6.2"/>
  </r>
  <r>
    <x v="1"/>
    <x v="1"/>
    <s v="B"/>
    <x v="23"/>
    <x v="1"/>
    <n v="0"/>
    <x v="1"/>
    <n v="0"/>
    <x v="1"/>
    <n v="0"/>
    <x v="1"/>
    <x v="48"/>
    <x v="1"/>
    <n v="700"/>
    <x v="1"/>
    <n v="0"/>
    <x v="1"/>
    <m/>
  </r>
  <r>
    <x v="1"/>
    <x v="1"/>
    <s v="C"/>
    <x v="23"/>
    <x v="1"/>
    <n v="0"/>
    <x v="1"/>
    <n v="0"/>
    <x v="1"/>
    <n v="0"/>
    <x v="1"/>
    <x v="49"/>
    <x v="1"/>
    <n v="300"/>
    <x v="1"/>
    <n v="0"/>
    <x v="1"/>
    <m/>
  </r>
  <r>
    <x v="1"/>
    <x v="54"/>
    <s v="A"/>
    <x v="23"/>
    <x v="28"/>
    <n v="0"/>
    <x v="2"/>
    <n v="0"/>
    <x v="2"/>
    <n v="0"/>
    <x v="2"/>
    <x v="45"/>
    <x v="47"/>
    <n v="600"/>
    <x v="29"/>
    <n v="0"/>
    <x v="3"/>
    <n v="9"/>
  </r>
  <r>
    <x v="1"/>
    <x v="1"/>
    <s v="B"/>
    <x v="25"/>
    <x v="1"/>
    <n v="0"/>
    <x v="1"/>
    <n v="0"/>
    <x v="1"/>
    <n v="0"/>
    <x v="1"/>
    <x v="32"/>
    <x v="1"/>
    <n v="550"/>
    <x v="1"/>
    <n v="0"/>
    <x v="1"/>
    <m/>
  </r>
  <r>
    <x v="1"/>
    <x v="1"/>
    <s v="C"/>
    <x v="25"/>
    <x v="1"/>
    <n v="0"/>
    <x v="1"/>
    <n v="0"/>
    <x v="1"/>
    <n v="0"/>
    <x v="1"/>
    <x v="32"/>
    <x v="1"/>
    <n v="350"/>
    <x v="1"/>
    <n v="0"/>
    <x v="1"/>
    <m/>
  </r>
  <r>
    <x v="3"/>
    <x v="55"/>
    <s v="A"/>
    <x v="25"/>
    <x v="29"/>
    <n v="0"/>
    <x v="2"/>
    <n v="450"/>
    <x v="3"/>
    <n v="240"/>
    <x v="3"/>
    <x v="50"/>
    <x v="48"/>
    <n v="350"/>
    <x v="19"/>
    <n v="0"/>
    <x v="3"/>
    <n v="7.5"/>
  </r>
  <r>
    <x v="1"/>
    <x v="1"/>
    <s v="B"/>
    <x v="25"/>
    <x v="1"/>
    <n v="0"/>
    <x v="1"/>
    <n v="450"/>
    <x v="1"/>
    <n v="240"/>
    <x v="1"/>
    <x v="51"/>
    <x v="1"/>
    <n v="500"/>
    <x v="1"/>
    <n v="0"/>
    <x v="1"/>
    <m/>
  </r>
  <r>
    <x v="1"/>
    <x v="1"/>
    <s v="C"/>
    <x v="25"/>
    <x v="1"/>
    <n v="0"/>
    <x v="1"/>
    <n v="450"/>
    <x v="1"/>
    <n v="240"/>
    <x v="1"/>
    <x v="31"/>
    <x v="1"/>
    <n v="500"/>
    <x v="1"/>
    <n v="0"/>
    <x v="1"/>
    <m/>
  </r>
  <r>
    <x v="1"/>
    <x v="56"/>
    <s v="A"/>
    <x v="25"/>
    <x v="29"/>
    <n v="240"/>
    <x v="3"/>
    <n v="450"/>
    <x v="4"/>
    <n v="0"/>
    <x v="2"/>
    <x v="52"/>
    <x v="49"/>
    <n v="350"/>
    <x v="19"/>
    <n v="0"/>
    <x v="4"/>
    <n v="6.5"/>
  </r>
  <r>
    <x v="1"/>
    <x v="1"/>
    <s v="B"/>
    <x v="25"/>
    <x v="1"/>
    <n v="0"/>
    <x v="1"/>
    <n v="650"/>
    <x v="1"/>
    <n v="0"/>
    <x v="1"/>
    <x v="53"/>
    <x v="1"/>
    <n v="500"/>
    <x v="1"/>
    <n v="210"/>
    <x v="1"/>
    <m/>
  </r>
  <r>
    <x v="1"/>
    <x v="1"/>
    <s v="C"/>
    <x v="25"/>
    <x v="1"/>
    <n v="0"/>
    <x v="1"/>
    <n v="600"/>
    <x v="1"/>
    <n v="0"/>
    <x v="1"/>
    <x v="40"/>
    <x v="1"/>
    <n v="500"/>
    <x v="1"/>
    <n v="140"/>
    <x v="1"/>
    <m/>
  </r>
  <r>
    <x v="1"/>
    <x v="57"/>
    <s v="A"/>
    <x v="26"/>
    <x v="26"/>
    <n v="0"/>
    <x v="2"/>
    <n v="700"/>
    <x v="5"/>
    <n v="0"/>
    <x v="2"/>
    <x v="24"/>
    <x v="43"/>
    <n v="350"/>
    <x v="30"/>
    <n v="0"/>
    <x v="3"/>
    <n v="8.5"/>
  </r>
  <r>
    <x v="1"/>
    <x v="1"/>
    <s v="B"/>
    <x v="26"/>
    <x v="1"/>
    <n v="0"/>
    <x v="1"/>
    <n v="650"/>
    <x v="1"/>
    <n v="0"/>
    <x v="1"/>
    <x v="40"/>
    <x v="1"/>
    <n v="450"/>
    <x v="1"/>
    <n v="0"/>
    <x v="1"/>
    <m/>
  </r>
  <r>
    <x v="1"/>
    <x v="1"/>
    <s v="C"/>
    <x v="26"/>
    <x v="1"/>
    <n v="0"/>
    <x v="1"/>
    <n v="650"/>
    <x v="1"/>
    <n v="0"/>
    <x v="1"/>
    <x v="40"/>
    <x v="1"/>
    <n v="450"/>
    <x v="1"/>
    <n v="0"/>
    <x v="1"/>
    <m/>
  </r>
  <r>
    <x v="1"/>
    <x v="58"/>
    <s v="A"/>
    <x v="25"/>
    <x v="30"/>
    <n v="0"/>
    <x v="2"/>
    <n v="450"/>
    <x v="3"/>
    <n v="240"/>
    <x v="3"/>
    <x v="40"/>
    <x v="50"/>
    <n v="350"/>
    <x v="16"/>
    <n v="0"/>
    <x v="3"/>
    <n v="7.5"/>
  </r>
  <r>
    <x v="1"/>
    <x v="1"/>
    <s v="B"/>
    <x v="26"/>
    <x v="1"/>
    <n v="0"/>
    <x v="1"/>
    <n v="450"/>
    <x v="1"/>
    <n v="240"/>
    <x v="1"/>
    <x v="24"/>
    <x v="1"/>
    <n v="250"/>
    <x v="1"/>
    <n v="0"/>
    <x v="1"/>
    <m/>
  </r>
  <r>
    <x v="1"/>
    <x v="1"/>
    <s v="C"/>
    <x v="27"/>
    <x v="1"/>
    <n v="0"/>
    <x v="1"/>
    <n v="450"/>
    <x v="1"/>
    <n v="240"/>
    <x v="1"/>
    <x v="24"/>
    <x v="1"/>
    <n v="250"/>
    <x v="1"/>
    <n v="0"/>
    <x v="1"/>
    <m/>
  </r>
  <r>
    <x v="1"/>
    <x v="59"/>
    <s v="A"/>
    <x v="25"/>
    <x v="31"/>
    <n v="240"/>
    <x v="4"/>
    <n v="450"/>
    <x v="6"/>
    <n v="0"/>
    <x v="2"/>
    <x v="6"/>
    <x v="51"/>
    <n v="350"/>
    <x v="21"/>
    <n v="0"/>
    <x v="3"/>
    <n v="7"/>
  </r>
  <r>
    <x v="1"/>
    <x v="1"/>
    <s v="B"/>
    <x v="28"/>
    <x v="1"/>
    <n v="240"/>
    <x v="1"/>
    <n v="300"/>
    <x v="1"/>
    <n v="0"/>
    <x v="1"/>
    <x v="25"/>
    <x v="1"/>
    <n v="350"/>
    <x v="1"/>
    <n v="0"/>
    <x v="1"/>
    <m/>
  </r>
  <r>
    <x v="1"/>
    <x v="1"/>
    <s v="C"/>
    <x v="28"/>
    <x v="1"/>
    <n v="240"/>
    <x v="1"/>
    <n v="300"/>
    <x v="1"/>
    <n v="0"/>
    <x v="1"/>
    <x v="25"/>
    <x v="1"/>
    <n v="350"/>
    <x v="1"/>
    <n v="0"/>
    <x v="1"/>
    <m/>
  </r>
  <r>
    <x v="1"/>
    <x v="60"/>
    <s v="A"/>
    <x v="28"/>
    <x v="32"/>
    <n v="240"/>
    <x v="5"/>
    <n v="300"/>
    <x v="7"/>
    <n v="0"/>
    <x v="2"/>
    <x v="25"/>
    <x v="21"/>
    <n v="350"/>
    <x v="21"/>
    <n v="0"/>
    <x v="3"/>
    <n v="8"/>
  </r>
  <r>
    <x v="1"/>
    <x v="1"/>
    <s v="B"/>
    <x v="28"/>
    <x v="1"/>
    <n v="240"/>
    <x v="1"/>
    <n v="300"/>
    <x v="1"/>
    <n v="0"/>
    <x v="1"/>
    <x v="24"/>
    <x v="1"/>
    <n v="350"/>
    <x v="1"/>
    <n v="0"/>
    <x v="1"/>
    <m/>
  </r>
  <r>
    <x v="1"/>
    <x v="1"/>
    <s v="C"/>
    <x v="13"/>
    <x v="1"/>
    <n v="0"/>
    <x v="1"/>
    <n v="0"/>
    <x v="1"/>
    <n v="0"/>
    <x v="1"/>
    <x v="24"/>
    <x v="1"/>
    <n v="350"/>
    <x v="1"/>
    <n v="0"/>
    <x v="1"/>
    <m/>
  </r>
  <r>
    <x v="1"/>
    <x v="61"/>
    <s v="A"/>
    <x v="29"/>
    <x v="33"/>
    <n v="0"/>
    <x v="3"/>
    <n v="0"/>
    <x v="8"/>
    <n v="0"/>
    <x v="2"/>
    <x v="1"/>
    <x v="3"/>
    <n v="350"/>
    <x v="21"/>
    <n v="0"/>
    <x v="3"/>
    <n v="6"/>
  </r>
  <r>
    <x v="1"/>
    <x v="1"/>
    <s v="B"/>
    <x v="15"/>
    <x v="1"/>
    <n v="0"/>
    <x v="1"/>
    <n v="100"/>
    <x v="1"/>
    <n v="0"/>
    <x v="1"/>
    <x v="4"/>
    <x v="1"/>
    <n v="350"/>
    <x v="1"/>
    <n v="0"/>
    <x v="1"/>
    <m/>
  </r>
  <r>
    <x v="1"/>
    <x v="1"/>
    <s v="C"/>
    <x v="15"/>
    <x v="1"/>
    <n v="240"/>
    <x v="1"/>
    <n v="0"/>
    <x v="1"/>
    <n v="0"/>
    <x v="1"/>
    <x v="4"/>
    <x v="1"/>
    <n v="350"/>
    <x v="1"/>
    <n v="0"/>
    <x v="1"/>
    <m/>
  </r>
  <r>
    <x v="1"/>
    <x v="62"/>
    <s v="A"/>
    <x v="15"/>
    <x v="18"/>
    <n v="240"/>
    <x v="4"/>
    <n v="0"/>
    <x v="2"/>
    <n v="0"/>
    <x v="2"/>
    <x v="24"/>
    <x v="52"/>
    <n v="350"/>
    <x v="21"/>
    <n v="0"/>
    <x v="3"/>
    <n v="6.5"/>
  </r>
  <r>
    <x v="1"/>
    <x v="1"/>
    <s v="B"/>
    <x v="15"/>
    <x v="1"/>
    <n v="240"/>
    <x v="1"/>
    <n v="0"/>
    <x v="1"/>
    <n v="0"/>
    <x v="1"/>
    <x v="24"/>
    <x v="1"/>
    <n v="350"/>
    <x v="1"/>
    <n v="0"/>
    <x v="1"/>
    <m/>
  </r>
  <r>
    <x v="1"/>
    <x v="1"/>
    <s v="C"/>
    <x v="15"/>
    <x v="1"/>
    <n v="240"/>
    <x v="1"/>
    <n v="0"/>
    <x v="1"/>
    <n v="0"/>
    <x v="1"/>
    <x v="24"/>
    <x v="1"/>
    <n v="350"/>
    <x v="1"/>
    <n v="0"/>
    <x v="1"/>
    <m/>
  </r>
  <r>
    <x v="1"/>
    <x v="63"/>
    <s v="A"/>
    <x v="15"/>
    <x v="18"/>
    <n v="240"/>
    <x v="4"/>
    <n v="0"/>
    <x v="2"/>
    <n v="0"/>
    <x v="2"/>
    <x v="24"/>
    <x v="52"/>
    <n v="400"/>
    <x v="5"/>
    <n v="0"/>
    <x v="3"/>
    <n v="7"/>
  </r>
  <r>
    <x v="1"/>
    <x v="1"/>
    <s v="B"/>
    <x v="15"/>
    <x v="1"/>
    <n v="240"/>
    <x v="1"/>
    <n v="0"/>
    <x v="1"/>
    <n v="0"/>
    <x v="1"/>
    <x v="24"/>
    <x v="1"/>
    <n v="400"/>
    <x v="1"/>
    <n v="0"/>
    <x v="1"/>
    <m/>
  </r>
  <r>
    <x v="1"/>
    <x v="1"/>
    <s v="C"/>
    <x v="15"/>
    <x v="1"/>
    <n v="240"/>
    <x v="1"/>
    <n v="0"/>
    <x v="1"/>
    <n v="0"/>
    <x v="1"/>
    <x v="24"/>
    <x v="1"/>
    <n v="350"/>
    <x v="1"/>
    <n v="0"/>
    <x v="1"/>
    <m/>
  </r>
  <r>
    <x v="1"/>
    <x v="64"/>
    <s v="A"/>
    <x v="15"/>
    <x v="34"/>
    <n v="240"/>
    <x v="5"/>
    <n v="0"/>
    <x v="2"/>
    <n v="0"/>
    <x v="2"/>
    <x v="1"/>
    <x v="53"/>
    <n v="350"/>
    <x v="21"/>
    <n v="0"/>
    <x v="3"/>
    <n v="9"/>
  </r>
  <r>
    <x v="1"/>
    <x v="1"/>
    <s v="B"/>
    <x v="15"/>
    <x v="1"/>
    <n v="240"/>
    <x v="1"/>
    <n v="0"/>
    <x v="1"/>
    <n v="0"/>
    <x v="1"/>
    <x v="24"/>
    <x v="1"/>
    <n v="350"/>
    <x v="1"/>
    <n v="0"/>
    <x v="1"/>
    <m/>
  </r>
  <r>
    <x v="1"/>
    <x v="1"/>
    <s v="C"/>
    <x v="4"/>
    <x v="1"/>
    <n v="0"/>
    <x v="1"/>
    <n v="0"/>
    <x v="1"/>
    <n v="0"/>
    <x v="1"/>
    <x v="24"/>
    <x v="1"/>
    <n v="350"/>
    <x v="1"/>
    <n v="0"/>
    <x v="1"/>
    <m/>
  </r>
  <r>
    <x v="1"/>
    <x v="65"/>
    <s v="A"/>
    <x v="29"/>
    <x v="35"/>
    <n v="0"/>
    <x v="2"/>
    <n v="0"/>
    <x v="2"/>
    <n v="0"/>
    <x v="2"/>
    <x v="24"/>
    <x v="52"/>
    <n v="350"/>
    <x v="21"/>
    <n v="0"/>
    <x v="3"/>
    <n v="8"/>
  </r>
  <r>
    <x v="1"/>
    <x v="1"/>
    <s v="B"/>
    <x v="29"/>
    <x v="1"/>
    <n v="0"/>
    <x v="1"/>
    <n v="0"/>
    <x v="1"/>
    <n v="0"/>
    <x v="1"/>
    <x v="24"/>
    <x v="1"/>
    <n v="350"/>
    <x v="1"/>
    <n v="0"/>
    <x v="1"/>
    <m/>
  </r>
  <r>
    <x v="1"/>
    <x v="1"/>
    <s v="C"/>
    <x v="29"/>
    <x v="1"/>
    <n v="0"/>
    <x v="1"/>
    <n v="0"/>
    <x v="1"/>
    <n v="0"/>
    <x v="1"/>
    <x v="24"/>
    <x v="1"/>
    <n v="350"/>
    <x v="1"/>
    <n v="0"/>
    <x v="1"/>
    <m/>
  </r>
  <r>
    <x v="1"/>
    <x v="66"/>
    <s v="A"/>
    <x v="29"/>
    <x v="36"/>
    <n v="0"/>
    <x v="2"/>
    <n v="0"/>
    <x v="2"/>
    <n v="0"/>
    <x v="2"/>
    <x v="54"/>
    <x v="54"/>
    <n v="350"/>
    <x v="16"/>
    <n v="140"/>
    <x v="12"/>
    <n v="7"/>
  </r>
  <r>
    <x v="1"/>
    <x v="1"/>
    <s v="B"/>
    <x v="4"/>
    <x v="1"/>
    <n v="0"/>
    <x v="1"/>
    <n v="0"/>
    <x v="1"/>
    <n v="0"/>
    <x v="1"/>
    <x v="40"/>
    <x v="1"/>
    <n v="300"/>
    <x v="1"/>
    <n v="35"/>
    <x v="1"/>
    <m/>
  </r>
  <r>
    <x v="1"/>
    <x v="1"/>
    <s v="C"/>
    <x v="29"/>
    <x v="1"/>
    <n v="0"/>
    <x v="1"/>
    <n v="0"/>
    <x v="1"/>
    <n v="0"/>
    <x v="1"/>
    <x v="25"/>
    <x v="1"/>
    <n v="200"/>
    <x v="1"/>
    <n v="70"/>
    <x v="1"/>
    <m/>
  </r>
  <r>
    <x v="1"/>
    <x v="67"/>
    <s v="A"/>
    <x v="29"/>
    <x v="35"/>
    <n v="0"/>
    <x v="2"/>
    <n v="0"/>
    <x v="2"/>
    <n v="0"/>
    <x v="2"/>
    <x v="55"/>
    <x v="55"/>
    <n v="350"/>
    <x v="14"/>
    <n v="35"/>
    <x v="6"/>
    <n v="6.3"/>
  </r>
  <r>
    <x v="1"/>
    <x v="1"/>
    <s v="B"/>
    <x v="29"/>
    <x v="1"/>
    <n v="0"/>
    <x v="1"/>
    <n v="0"/>
    <x v="1"/>
    <n v="0"/>
    <x v="1"/>
    <x v="1"/>
    <x v="1"/>
    <n v="0"/>
    <x v="1"/>
    <n v="0"/>
    <x v="1"/>
    <m/>
  </r>
  <r>
    <x v="1"/>
    <x v="1"/>
    <s v="C"/>
    <x v="29"/>
    <x v="1"/>
    <n v="0"/>
    <x v="1"/>
    <n v="0"/>
    <x v="1"/>
    <n v="0"/>
    <x v="1"/>
    <x v="25"/>
    <x v="1"/>
    <n v="350"/>
    <x v="1"/>
    <n v="0"/>
    <x v="1"/>
    <m/>
  </r>
  <r>
    <x v="1"/>
    <x v="68"/>
    <s v="A"/>
    <x v="29"/>
    <x v="35"/>
    <n v="0"/>
    <x v="2"/>
    <n v="0"/>
    <x v="2"/>
    <n v="0"/>
    <x v="2"/>
    <x v="25"/>
    <x v="39"/>
    <n v="0"/>
    <x v="13"/>
    <n v="0"/>
    <x v="3"/>
    <n v="7"/>
  </r>
  <r>
    <x v="1"/>
    <x v="1"/>
    <s v="B"/>
    <x v="29"/>
    <x v="1"/>
    <n v="0"/>
    <x v="1"/>
    <n v="0"/>
    <x v="1"/>
    <n v="0"/>
    <x v="1"/>
    <x v="25"/>
    <x v="1"/>
    <n v="0"/>
    <x v="1"/>
    <n v="0"/>
    <x v="1"/>
    <m/>
  </r>
  <r>
    <x v="1"/>
    <x v="1"/>
    <s v="C"/>
    <x v="29"/>
    <x v="1"/>
    <n v="0"/>
    <x v="1"/>
    <n v="0"/>
    <x v="1"/>
    <n v="0"/>
    <x v="1"/>
    <x v="7"/>
    <x v="1"/>
    <n v="350"/>
    <x v="1"/>
    <n v="0"/>
    <x v="1"/>
    <m/>
  </r>
  <r>
    <x v="1"/>
    <x v="69"/>
    <s v="A"/>
    <x v="29"/>
    <x v="35"/>
    <n v="0"/>
    <x v="2"/>
    <n v="0"/>
    <x v="2"/>
    <n v="0"/>
    <x v="2"/>
    <x v="7"/>
    <x v="56"/>
    <n v="0"/>
    <x v="31"/>
    <n v="0"/>
    <x v="3"/>
    <n v="7"/>
  </r>
  <r>
    <x v="1"/>
    <x v="1"/>
    <s v="B"/>
    <x v="29"/>
    <x v="1"/>
    <n v="0"/>
    <x v="1"/>
    <n v="0"/>
    <x v="1"/>
    <n v="0"/>
    <x v="1"/>
    <x v="7"/>
    <x v="1"/>
    <n v="0"/>
    <x v="1"/>
    <n v="0"/>
    <x v="1"/>
    <m/>
  </r>
  <r>
    <x v="1"/>
    <x v="1"/>
    <s v="C"/>
    <x v="29"/>
    <x v="1"/>
    <n v="0"/>
    <x v="1"/>
    <n v="0"/>
    <x v="1"/>
    <n v="0"/>
    <x v="1"/>
    <x v="7"/>
    <x v="1"/>
    <n v="50"/>
    <x v="1"/>
    <n v="0"/>
    <x v="1"/>
    <m/>
  </r>
  <r>
    <x v="1"/>
    <x v="70"/>
    <s v="A"/>
    <x v="29"/>
    <x v="33"/>
    <n v="0"/>
    <x v="2"/>
    <n v="0"/>
    <x v="2"/>
    <n v="0"/>
    <x v="4"/>
    <x v="7"/>
    <x v="7"/>
    <n v="350"/>
    <x v="7"/>
    <n v="0"/>
    <x v="3"/>
    <n v="7"/>
  </r>
  <r>
    <x v="1"/>
    <x v="1"/>
    <s v="B"/>
    <x v="15"/>
    <x v="1"/>
    <n v="0"/>
    <x v="1"/>
    <n v="0"/>
    <x v="1"/>
    <n v="240"/>
    <x v="1"/>
    <x v="7"/>
    <x v="1"/>
    <n v="0"/>
    <x v="1"/>
    <n v="0"/>
    <x v="1"/>
    <m/>
  </r>
  <r>
    <x v="1"/>
    <x v="1"/>
    <s v="C"/>
    <x v="15"/>
    <x v="1"/>
    <n v="0"/>
    <x v="1"/>
    <n v="0"/>
    <x v="1"/>
    <n v="240"/>
    <x v="1"/>
    <x v="9"/>
    <x v="1"/>
    <n v="200"/>
    <x v="1"/>
    <n v="0"/>
    <x v="1"/>
    <m/>
  </r>
  <r>
    <x v="1"/>
    <x v="71"/>
    <s v="A"/>
    <x v="15"/>
    <x v="18"/>
    <n v="0"/>
    <x v="2"/>
    <n v="0"/>
    <x v="2"/>
    <n v="240"/>
    <x v="5"/>
    <x v="7"/>
    <x v="57"/>
    <n v="200"/>
    <x v="24"/>
    <n v="0"/>
    <x v="3"/>
    <n v="7"/>
  </r>
  <r>
    <x v="1"/>
    <x v="1"/>
    <s v="B"/>
    <x v="15"/>
    <x v="1"/>
    <n v="0"/>
    <x v="1"/>
    <n v="0"/>
    <x v="1"/>
    <n v="240"/>
    <x v="1"/>
    <x v="7"/>
    <x v="1"/>
    <n v="0"/>
    <x v="1"/>
    <n v="0"/>
    <x v="1"/>
    <m/>
  </r>
  <r>
    <x v="1"/>
    <x v="1"/>
    <s v="C"/>
    <x v="15"/>
    <x v="1"/>
    <n v="0"/>
    <x v="1"/>
    <n v="0"/>
    <x v="1"/>
    <n v="288"/>
    <x v="1"/>
    <x v="13"/>
    <x v="1"/>
    <n v="200"/>
    <x v="1"/>
    <n v="0"/>
    <x v="1"/>
    <m/>
  </r>
  <r>
    <x v="1"/>
    <x v="72"/>
    <s v="A"/>
    <x v="15"/>
    <x v="19"/>
    <n v="0"/>
    <x v="2"/>
    <n v="0"/>
    <x v="9"/>
    <n v="288"/>
    <x v="6"/>
    <x v="25"/>
    <x v="39"/>
    <n v="200"/>
    <x v="17"/>
    <n v="0"/>
    <x v="3"/>
    <n v="7.5"/>
  </r>
  <r>
    <x v="1"/>
    <x v="1"/>
    <s v="B"/>
    <x v="15"/>
    <x v="1"/>
    <n v="0"/>
    <x v="1"/>
    <n v="0"/>
    <x v="1"/>
    <n v="288"/>
    <x v="1"/>
    <x v="25"/>
    <x v="1"/>
    <n v="200"/>
    <x v="1"/>
    <n v="0"/>
    <x v="1"/>
    <m/>
  </r>
  <r>
    <x v="1"/>
    <x v="1"/>
    <s v="C"/>
    <x v="16"/>
    <x v="1"/>
    <n v="0"/>
    <x v="1"/>
    <n v="50"/>
    <x v="1"/>
    <n v="288"/>
    <x v="1"/>
    <x v="7"/>
    <x v="1"/>
    <n v="350"/>
    <x v="1"/>
    <n v="0"/>
    <x v="1"/>
    <m/>
  </r>
  <r>
    <x v="1"/>
    <x v="73"/>
    <s v="A"/>
    <x v="16"/>
    <x v="37"/>
    <n v="0"/>
    <x v="2"/>
    <n v="100"/>
    <x v="10"/>
    <n v="240"/>
    <x v="3"/>
    <x v="7"/>
    <x v="56"/>
    <n v="0"/>
    <x v="14"/>
    <n v="0"/>
    <x v="3"/>
    <n v="7"/>
  </r>
  <r>
    <x v="1"/>
    <x v="1"/>
    <s v="B"/>
    <x v="16"/>
    <x v="1"/>
    <n v="0"/>
    <x v="1"/>
    <n v="100"/>
    <x v="1"/>
    <n v="240"/>
    <x v="1"/>
    <x v="7"/>
    <x v="1"/>
    <n v="350"/>
    <x v="1"/>
    <n v="0"/>
    <x v="1"/>
    <m/>
  </r>
  <r>
    <x v="1"/>
    <x v="1"/>
    <s v="C"/>
    <x v="16"/>
    <x v="1"/>
    <n v="0"/>
    <x v="1"/>
    <n v="100"/>
    <x v="1"/>
    <n v="240"/>
    <x v="1"/>
    <x v="7"/>
    <x v="1"/>
    <n v="350"/>
    <x v="1"/>
    <n v="0"/>
    <x v="1"/>
    <m/>
  </r>
  <r>
    <x v="1"/>
    <x v="74"/>
    <s v="A"/>
    <x v="6"/>
    <x v="38"/>
    <n v="0"/>
    <x v="2"/>
    <n v="50"/>
    <x v="9"/>
    <n v="240"/>
    <x v="3"/>
    <x v="2"/>
    <x v="22"/>
    <n v="300"/>
    <x v="4"/>
    <n v="175"/>
    <x v="13"/>
    <n v="7"/>
  </r>
  <r>
    <x v="1"/>
    <x v="1"/>
    <s v="B"/>
    <x v="15"/>
    <x v="1"/>
    <n v="0"/>
    <x v="1"/>
    <n v="0"/>
    <x v="1"/>
    <n v="240"/>
    <x v="1"/>
    <x v="25"/>
    <x v="1"/>
    <n v="300"/>
    <x v="1"/>
    <n v="0"/>
    <x v="1"/>
    <m/>
  </r>
  <r>
    <x v="1"/>
    <x v="1"/>
    <s v="C"/>
    <x v="15"/>
    <x v="1"/>
    <n v="0"/>
    <x v="1"/>
    <n v="0"/>
    <x v="1"/>
    <n v="240"/>
    <x v="1"/>
    <x v="25"/>
    <x v="1"/>
    <n v="350"/>
    <x v="1"/>
    <n v="0"/>
    <x v="1"/>
    <m/>
  </r>
  <r>
    <x v="1"/>
    <x v="75"/>
    <s v="A"/>
    <x v="15"/>
    <x v="18"/>
    <n v="0"/>
    <x v="2"/>
    <n v="0"/>
    <x v="2"/>
    <n v="240"/>
    <x v="3"/>
    <x v="26"/>
    <x v="58"/>
    <n v="350"/>
    <x v="21"/>
    <n v="0"/>
    <x v="6"/>
    <n v="6"/>
  </r>
  <r>
    <x v="1"/>
    <x v="1"/>
    <s v="B"/>
    <x v="15"/>
    <x v="1"/>
    <n v="0"/>
    <x v="1"/>
    <n v="0"/>
    <x v="1"/>
    <n v="240"/>
    <x v="1"/>
    <x v="7"/>
    <x v="1"/>
    <n v="350"/>
    <x v="1"/>
    <n v="35"/>
    <x v="1"/>
    <m/>
  </r>
  <r>
    <x v="1"/>
    <x v="1"/>
    <s v="C"/>
    <x v="15"/>
    <x v="1"/>
    <n v="0"/>
    <x v="1"/>
    <n v="0"/>
    <x v="1"/>
    <n v="240"/>
    <x v="1"/>
    <x v="7"/>
    <x v="1"/>
    <n v="350"/>
    <x v="1"/>
    <n v="0"/>
    <x v="1"/>
    <m/>
  </r>
  <r>
    <x v="1"/>
    <x v="76"/>
    <s v="A"/>
    <x v="15"/>
    <x v="18"/>
    <n v="0"/>
    <x v="2"/>
    <n v="0"/>
    <x v="2"/>
    <n v="240"/>
    <x v="3"/>
    <x v="7"/>
    <x v="56"/>
    <n v="450"/>
    <x v="30"/>
    <n v="0"/>
    <x v="3"/>
    <n v="7"/>
  </r>
  <r>
    <x v="1"/>
    <x v="1"/>
    <s v="B"/>
    <x v="15"/>
    <x v="1"/>
    <n v="0"/>
    <x v="1"/>
    <n v="0"/>
    <x v="1"/>
    <n v="240"/>
    <x v="1"/>
    <x v="7"/>
    <x v="1"/>
    <n v="400"/>
    <x v="1"/>
    <n v="0"/>
    <x v="1"/>
    <m/>
  </r>
  <r>
    <x v="1"/>
    <x v="1"/>
    <s v="C"/>
    <x v="15"/>
    <x v="1"/>
    <n v="0"/>
    <x v="1"/>
    <n v="0"/>
    <x v="1"/>
    <n v="240"/>
    <x v="1"/>
    <x v="7"/>
    <x v="1"/>
    <n v="400"/>
    <x v="1"/>
    <n v="0"/>
    <x v="1"/>
    <m/>
  </r>
  <r>
    <x v="1"/>
    <x v="77"/>
    <s v="A"/>
    <x v="15"/>
    <x v="18"/>
    <n v="0"/>
    <x v="2"/>
    <n v="0"/>
    <x v="2"/>
    <n v="240"/>
    <x v="3"/>
    <x v="4"/>
    <x v="31"/>
    <n v="400"/>
    <x v="21"/>
    <n v="0"/>
    <x v="3"/>
    <n v="6"/>
  </r>
  <r>
    <x v="1"/>
    <x v="1"/>
    <s v="B"/>
    <x v="15"/>
    <x v="1"/>
    <n v="0"/>
    <x v="1"/>
    <n v="0"/>
    <x v="1"/>
    <n v="240"/>
    <x v="1"/>
    <x v="4"/>
    <x v="1"/>
    <n v="350"/>
    <x v="1"/>
    <n v="0"/>
    <x v="1"/>
    <m/>
  </r>
  <r>
    <x v="1"/>
    <x v="1"/>
    <s v="C"/>
    <x v="15"/>
    <x v="1"/>
    <n v="0"/>
    <x v="1"/>
    <n v="0"/>
    <x v="1"/>
    <n v="240"/>
    <x v="1"/>
    <x v="4"/>
    <x v="1"/>
    <n v="300"/>
    <x v="1"/>
    <n v="0"/>
    <x v="1"/>
    <m/>
  </r>
  <r>
    <x v="1"/>
    <x v="78"/>
    <s v="A"/>
    <x v="24"/>
    <x v="39"/>
    <n v="0"/>
    <x v="2"/>
    <n v="0"/>
    <x v="2"/>
    <n v="240"/>
    <x v="7"/>
    <x v="25"/>
    <x v="34"/>
    <n v="300"/>
    <x v="20"/>
    <n v="0"/>
    <x v="3"/>
    <n v="7.5"/>
  </r>
  <r>
    <x v="1"/>
    <x v="1"/>
    <s v="B"/>
    <x v="16"/>
    <x v="1"/>
    <n v="0"/>
    <x v="1"/>
    <n v="0"/>
    <x v="1"/>
    <n v="336"/>
    <x v="1"/>
    <x v="25"/>
    <x v="1"/>
    <n v="450"/>
    <x v="1"/>
    <n v="0"/>
    <x v="1"/>
    <m/>
  </r>
  <r>
    <x v="1"/>
    <x v="1"/>
    <s v="C"/>
    <x v="6"/>
    <x v="1"/>
    <n v="0"/>
    <x v="1"/>
    <n v="0"/>
    <x v="1"/>
    <n v="336"/>
    <x v="1"/>
    <x v="25"/>
    <x v="1"/>
    <n v="450"/>
    <x v="1"/>
    <n v="0"/>
    <x v="1"/>
    <m/>
  </r>
  <r>
    <x v="1"/>
    <x v="79"/>
    <s v="A"/>
    <x v="30"/>
    <x v="40"/>
    <n v="0"/>
    <x v="2"/>
    <n v="0"/>
    <x v="2"/>
    <n v="432"/>
    <x v="8"/>
    <x v="25"/>
    <x v="34"/>
    <n v="300"/>
    <x v="9"/>
    <n v="0"/>
    <x v="3"/>
    <n v="7"/>
  </r>
  <r>
    <x v="1"/>
    <x v="1"/>
    <s v="B"/>
    <x v="30"/>
    <x v="1"/>
    <n v="0"/>
    <x v="1"/>
    <n v="0"/>
    <x v="1"/>
    <n v="584"/>
    <x v="1"/>
    <x v="25"/>
    <x v="1"/>
    <n v="300"/>
    <x v="1"/>
    <n v="0"/>
    <x v="1"/>
    <m/>
  </r>
  <r>
    <x v="1"/>
    <x v="1"/>
    <s v="C"/>
    <x v="30"/>
    <x v="1"/>
    <n v="0"/>
    <x v="1"/>
    <n v="0"/>
    <x v="1"/>
    <n v="384"/>
    <x v="1"/>
    <x v="25"/>
    <x v="1"/>
    <n v="300"/>
    <x v="1"/>
    <n v="0"/>
    <x v="1"/>
    <m/>
  </r>
  <r>
    <x v="1"/>
    <x v="80"/>
    <s v="A"/>
    <x v="16"/>
    <x v="37"/>
    <n v="0"/>
    <x v="2"/>
    <n v="0"/>
    <x v="2"/>
    <n v="384"/>
    <x v="9"/>
    <x v="56"/>
    <x v="49"/>
    <n v="500"/>
    <x v="20"/>
    <n v="445"/>
    <x v="14"/>
    <n v="7"/>
  </r>
  <r>
    <x v="1"/>
    <x v="1"/>
    <s v="B"/>
    <x v="16"/>
    <x v="1"/>
    <n v="0"/>
    <x v="1"/>
    <n v="0"/>
    <x v="1"/>
    <n v="384"/>
    <x v="1"/>
    <x v="49"/>
    <x v="1"/>
    <n v="300"/>
    <x v="1"/>
    <n v="0"/>
    <x v="1"/>
    <m/>
  </r>
  <r>
    <x v="1"/>
    <x v="1"/>
    <s v="C"/>
    <x v="16"/>
    <x v="1"/>
    <n v="0"/>
    <x v="1"/>
    <n v="0"/>
    <x v="1"/>
    <n v="384"/>
    <x v="1"/>
    <x v="49"/>
    <x v="1"/>
    <n v="400"/>
    <x v="1"/>
    <n v="70"/>
    <x v="1"/>
    <m/>
  </r>
  <r>
    <x v="1"/>
    <x v="81"/>
    <s v="A"/>
    <x v="3"/>
    <x v="6"/>
    <n v="0"/>
    <x v="2"/>
    <n v="0"/>
    <x v="2"/>
    <n v="480"/>
    <x v="10"/>
    <x v="57"/>
    <x v="59"/>
    <n v="1150"/>
    <x v="27"/>
    <n v="270"/>
    <x v="15"/>
    <n v="7"/>
  </r>
  <r>
    <x v="1"/>
    <x v="1"/>
    <s v="B"/>
    <x v="3"/>
    <x v="1"/>
    <n v="0"/>
    <x v="1"/>
    <n v="0"/>
    <x v="1"/>
    <n v="480"/>
    <x v="1"/>
    <x v="57"/>
    <x v="1"/>
    <n v="500"/>
    <x v="1"/>
    <n v="210"/>
    <x v="1"/>
    <m/>
  </r>
  <r>
    <x v="1"/>
    <x v="1"/>
    <s v="C"/>
    <x v="3"/>
    <x v="1"/>
    <n v="0"/>
    <x v="1"/>
    <n v="0"/>
    <x v="1"/>
    <n v="480"/>
    <x v="1"/>
    <x v="57"/>
    <x v="1"/>
    <n v="600"/>
    <x v="1"/>
    <n v="210"/>
    <x v="1"/>
    <m/>
  </r>
  <r>
    <x v="1"/>
    <x v="82"/>
    <s v="A"/>
    <x v="3"/>
    <x v="41"/>
    <n v="0"/>
    <x v="2"/>
    <n v="0"/>
    <x v="11"/>
    <n v="480"/>
    <x v="11"/>
    <x v="58"/>
    <x v="60"/>
    <n v="700"/>
    <x v="32"/>
    <n v="600"/>
    <x v="16"/>
    <n v="7.2"/>
  </r>
  <r>
    <x v="1"/>
    <x v="1"/>
    <s v="B"/>
    <x v="31"/>
    <x v="1"/>
    <n v="0"/>
    <x v="1"/>
    <n v="500"/>
    <x v="1"/>
    <n v="480"/>
    <x v="1"/>
    <x v="59"/>
    <x v="1"/>
    <n v="1200"/>
    <x v="1"/>
    <n v="1050"/>
    <x v="1"/>
    <m/>
  </r>
  <r>
    <x v="1"/>
    <x v="1"/>
    <s v="C"/>
    <x v="32"/>
    <x v="1"/>
    <n v="0"/>
    <x v="1"/>
    <n v="450"/>
    <x v="1"/>
    <n v="528"/>
    <x v="1"/>
    <x v="47"/>
    <x v="1"/>
    <n v="800"/>
    <x v="1"/>
    <n v="540"/>
    <x v="1"/>
    <m/>
  </r>
  <r>
    <x v="1"/>
    <x v="83"/>
    <s v="A"/>
    <x v="27"/>
    <x v="42"/>
    <n v="0"/>
    <x v="2"/>
    <n v="450"/>
    <x v="3"/>
    <n v="576"/>
    <x v="12"/>
    <x v="60"/>
    <x v="61"/>
    <n v="800"/>
    <x v="33"/>
    <n v="480"/>
    <x v="17"/>
    <n v="8"/>
  </r>
  <r>
    <x v="1"/>
    <x v="1"/>
    <s v="B"/>
    <x v="33"/>
    <x v="1"/>
    <n v="0"/>
    <x v="1"/>
    <n v="450"/>
    <x v="1"/>
    <n v="576"/>
    <x v="1"/>
    <x v="47"/>
    <x v="1"/>
    <n v="1000"/>
    <x v="1"/>
    <n v="660"/>
    <x v="1"/>
    <m/>
  </r>
  <r>
    <x v="1"/>
    <x v="1"/>
    <s v="C"/>
    <x v="33"/>
    <x v="1"/>
    <n v="0"/>
    <x v="1"/>
    <n v="450"/>
    <x v="1"/>
    <n v="576"/>
    <x v="1"/>
    <x v="47"/>
    <x v="1"/>
    <n v="750"/>
    <x v="1"/>
    <n v="330"/>
    <x v="1"/>
    <m/>
  </r>
  <r>
    <x v="1"/>
    <x v="84"/>
    <s v="A"/>
    <x v="33"/>
    <x v="43"/>
    <n v="0"/>
    <x v="2"/>
    <n v="450"/>
    <x v="3"/>
    <n v="576"/>
    <x v="12"/>
    <x v="1"/>
    <x v="23"/>
    <n v="600"/>
    <x v="34"/>
    <n v="690"/>
    <x v="18"/>
    <n v="9.5"/>
  </r>
  <r>
    <x v="1"/>
    <x v="1"/>
    <s v="B"/>
    <x v="33"/>
    <x v="1"/>
    <n v="0"/>
    <x v="1"/>
    <n v="450"/>
    <x v="1"/>
    <n v="576"/>
    <x v="1"/>
    <x v="34"/>
    <x v="1"/>
    <n v="500"/>
    <x v="1"/>
    <n v="720"/>
    <x v="1"/>
    <m/>
  </r>
  <r>
    <x v="1"/>
    <x v="1"/>
    <s v="C"/>
    <x v="33"/>
    <x v="1"/>
    <n v="0"/>
    <x v="1"/>
    <n v="450"/>
    <x v="1"/>
    <n v="576"/>
    <x v="1"/>
    <x v="0"/>
    <x v="1"/>
    <n v="300"/>
    <x v="1"/>
    <n v="90"/>
    <x v="1"/>
    <m/>
  </r>
  <r>
    <x v="4"/>
    <x v="85"/>
    <s v="A"/>
    <x v="33"/>
    <x v="43"/>
    <n v="0"/>
    <x v="2"/>
    <n v="450"/>
    <x v="12"/>
    <n v="576"/>
    <x v="12"/>
    <x v="1"/>
    <x v="37"/>
    <n v="600"/>
    <x v="20"/>
    <n v="105"/>
    <x v="19"/>
    <n v="11.5"/>
  </r>
  <r>
    <x v="1"/>
    <x v="1"/>
    <s v="B"/>
    <x v="33"/>
    <x v="1"/>
    <n v="0"/>
    <x v="1"/>
    <n v="0"/>
    <x v="1"/>
    <n v="576"/>
    <x v="1"/>
    <x v="35"/>
    <x v="1"/>
    <n v="300"/>
    <x v="1"/>
    <n v="360"/>
    <x v="1"/>
    <m/>
  </r>
  <r>
    <x v="1"/>
    <x v="1"/>
    <s v="C"/>
    <x v="33"/>
    <x v="1"/>
    <n v="0"/>
    <x v="1"/>
    <n v="300"/>
    <x v="1"/>
    <n v="576"/>
    <x v="1"/>
    <x v="35"/>
    <x v="1"/>
    <n v="300"/>
    <x v="1"/>
    <n v="0"/>
    <x v="1"/>
    <m/>
  </r>
  <r>
    <x v="1"/>
    <x v="86"/>
    <s v="A"/>
    <x v="25"/>
    <x v="27"/>
    <n v="0"/>
    <x v="2"/>
    <n v="300"/>
    <x v="13"/>
    <n v="624"/>
    <x v="13"/>
    <x v="1"/>
    <x v="21"/>
    <n v="550"/>
    <x v="29"/>
    <n v="150"/>
    <x v="10"/>
    <n v="9.5"/>
  </r>
  <r>
    <x v="1"/>
    <x v="1"/>
    <s v="B"/>
    <x v="25"/>
    <x v="1"/>
    <n v="0"/>
    <x v="1"/>
    <n v="300"/>
    <x v="1"/>
    <n v="624"/>
    <x v="1"/>
    <x v="1"/>
    <x v="1"/>
    <n v="650"/>
    <x v="1"/>
    <n v="180"/>
    <x v="1"/>
    <m/>
  </r>
  <r>
    <x v="1"/>
    <x v="1"/>
    <s v="C"/>
    <x v="11"/>
    <x v="1"/>
    <n v="0"/>
    <x v="1"/>
    <n v="300"/>
    <x v="1"/>
    <n v="0"/>
    <x v="1"/>
    <x v="1"/>
    <x v="1"/>
    <n v="300"/>
    <x v="1"/>
    <n v="90"/>
    <x v="1"/>
    <m/>
  </r>
  <r>
    <x v="1"/>
    <x v="87"/>
    <s v="A"/>
    <x v="25"/>
    <x v="44"/>
    <n v="0"/>
    <x v="2"/>
    <n v="450"/>
    <x v="3"/>
    <n v="240"/>
    <x v="3"/>
    <x v="61"/>
    <x v="56"/>
    <n v="400"/>
    <x v="16"/>
    <n v="315"/>
    <x v="20"/>
    <n v="8.5"/>
  </r>
  <r>
    <x v="1"/>
    <x v="1"/>
    <s v="B"/>
    <x v="34"/>
    <x v="1"/>
    <n v="0"/>
    <x v="1"/>
    <n v="450"/>
    <x v="1"/>
    <n v="240"/>
    <x v="1"/>
    <x v="1"/>
    <x v="1"/>
    <n v="0"/>
    <x v="1"/>
    <n v="210"/>
    <x v="1"/>
    <m/>
  </r>
  <r>
    <x v="1"/>
    <x v="1"/>
    <s v="C"/>
    <x v="25"/>
    <x v="1"/>
    <n v="0"/>
    <x v="1"/>
    <n v="450"/>
    <x v="1"/>
    <n v="240"/>
    <x v="1"/>
    <x v="1"/>
    <x v="1"/>
    <n v="450"/>
    <x v="1"/>
    <n v="140"/>
    <x v="1"/>
    <m/>
  </r>
  <r>
    <x v="1"/>
    <x v="88"/>
    <s v="A"/>
    <x v="26"/>
    <x v="45"/>
    <n v="0"/>
    <x v="2"/>
    <n v="500"/>
    <x v="14"/>
    <n v="240"/>
    <x v="3"/>
    <x v="16"/>
    <x v="62"/>
    <n v="400"/>
    <x v="24"/>
    <n v="0"/>
    <x v="3"/>
    <n v="8"/>
  </r>
  <r>
    <x v="1"/>
    <x v="1"/>
    <s v="B"/>
    <x v="25"/>
    <x v="1"/>
    <n v="0"/>
    <x v="1"/>
    <n v="500"/>
    <x v="1"/>
    <n v="240"/>
    <x v="1"/>
    <x v="16"/>
    <x v="1"/>
    <n v="0"/>
    <x v="1"/>
    <n v="0"/>
    <x v="1"/>
    <m/>
  </r>
  <r>
    <x v="1"/>
    <x v="1"/>
    <s v="C"/>
    <x v="25"/>
    <x v="1"/>
    <n v="0"/>
    <x v="1"/>
    <n v="500"/>
    <x v="1"/>
    <n v="240"/>
    <x v="1"/>
    <x v="62"/>
    <x v="1"/>
    <n v="0"/>
    <x v="1"/>
    <n v="0"/>
    <x v="1"/>
    <m/>
  </r>
  <r>
    <x v="1"/>
    <x v="89"/>
    <s v="A"/>
    <x v="35"/>
    <x v="46"/>
    <n v="0"/>
    <x v="2"/>
    <n v="550"/>
    <x v="15"/>
    <n v="240"/>
    <x v="3"/>
    <x v="25"/>
    <x v="22"/>
    <n v="0"/>
    <x v="15"/>
    <n v="0"/>
    <x v="3"/>
    <n v="7"/>
  </r>
  <r>
    <x v="1"/>
    <x v="1"/>
    <s v="B"/>
    <x v="35"/>
    <x v="1"/>
    <n v="0"/>
    <x v="1"/>
    <n v="550"/>
    <x v="1"/>
    <n v="240"/>
    <x v="1"/>
    <x v="4"/>
    <x v="1"/>
    <n v="0"/>
    <x v="1"/>
    <n v="0"/>
    <x v="1"/>
    <m/>
  </r>
  <r>
    <x v="1"/>
    <x v="1"/>
    <s v="C"/>
    <x v="34"/>
    <x v="1"/>
    <n v="0"/>
    <x v="1"/>
    <n v="550"/>
    <x v="1"/>
    <n v="240"/>
    <x v="1"/>
    <x v="7"/>
    <x v="1"/>
    <n v="0"/>
    <x v="1"/>
    <n v="0"/>
    <x v="1"/>
    <m/>
  </r>
  <r>
    <x v="1"/>
    <x v="90"/>
    <s v="A"/>
    <x v="26"/>
    <x v="27"/>
    <n v="0"/>
    <x v="2"/>
    <n v="550"/>
    <x v="16"/>
    <n v="240"/>
    <x v="14"/>
    <x v="25"/>
    <x v="63"/>
    <n v="0"/>
    <x v="15"/>
    <n v="0"/>
    <x v="3"/>
    <n v="7.5"/>
  </r>
  <r>
    <x v="1"/>
    <x v="1"/>
    <s v="B"/>
    <x v="26"/>
    <x v="1"/>
    <n v="0"/>
    <x v="1"/>
    <n v="350"/>
    <x v="1"/>
    <n v="384"/>
    <x v="1"/>
    <x v="7"/>
    <x v="1"/>
    <n v="0"/>
    <x v="1"/>
    <n v="0"/>
    <x v="1"/>
    <m/>
  </r>
  <r>
    <x v="1"/>
    <x v="1"/>
    <s v="C"/>
    <x v="28"/>
    <x v="1"/>
    <n v="0"/>
    <x v="1"/>
    <n v="500"/>
    <x v="1"/>
    <n v="576"/>
    <x v="1"/>
    <x v="8"/>
    <x v="1"/>
    <n v="0"/>
    <x v="1"/>
    <n v="0"/>
    <x v="1"/>
    <m/>
  </r>
  <r>
    <x v="1"/>
    <x v="91"/>
    <s v="A"/>
    <x v="36"/>
    <x v="47"/>
    <n v="0"/>
    <x v="2"/>
    <n v="450"/>
    <x v="17"/>
    <n v="300"/>
    <x v="15"/>
    <x v="10"/>
    <x v="64"/>
    <n v="0"/>
    <x v="12"/>
    <n v="0"/>
    <x v="21"/>
    <n v="6.5"/>
  </r>
  <r>
    <x v="1"/>
    <x v="1"/>
    <s v="B"/>
    <x v="37"/>
    <x v="1"/>
    <n v="0"/>
    <x v="1"/>
    <n v="350"/>
    <x v="1"/>
    <n v="240"/>
    <x v="1"/>
    <x v="63"/>
    <x v="1"/>
    <n v="300"/>
    <x v="1"/>
    <n v="175"/>
    <x v="1"/>
    <m/>
  </r>
  <r>
    <x v="1"/>
    <x v="1"/>
    <s v="C"/>
    <x v="25"/>
    <x v="1"/>
    <n v="0"/>
    <x v="1"/>
    <n v="500"/>
    <x v="1"/>
    <n v="432"/>
    <x v="1"/>
    <x v="64"/>
    <x v="1"/>
    <n v="200"/>
    <x v="1"/>
    <n v="210"/>
    <x v="1"/>
    <m/>
  </r>
  <r>
    <x v="1"/>
    <x v="92"/>
    <s v="A"/>
    <x v="28"/>
    <x v="48"/>
    <n v="0"/>
    <x v="2"/>
    <n v="450"/>
    <x v="3"/>
    <n v="240"/>
    <x v="3"/>
    <x v="29"/>
    <x v="65"/>
    <n v="300"/>
    <x v="8"/>
    <n v="140"/>
    <x v="4"/>
    <n v="6.2"/>
  </r>
  <r>
    <x v="1"/>
    <x v="1"/>
    <s v="B"/>
    <x v="37"/>
    <x v="1"/>
    <n v="0"/>
    <x v="1"/>
    <n v="450"/>
    <x v="1"/>
    <n v="240"/>
    <x v="1"/>
    <x v="65"/>
    <x v="1"/>
    <n v="300"/>
    <x v="1"/>
    <n v="210"/>
    <x v="1"/>
    <m/>
  </r>
  <r>
    <x v="1"/>
    <x v="1"/>
    <s v="C"/>
    <x v="25"/>
    <x v="1"/>
    <n v="0"/>
    <x v="1"/>
    <n v="450"/>
    <x v="1"/>
    <n v="240"/>
    <x v="1"/>
    <x v="66"/>
    <x v="1"/>
    <n v="200"/>
    <x v="1"/>
    <n v="0"/>
    <x v="1"/>
    <m/>
  </r>
  <r>
    <x v="1"/>
    <x v="93"/>
    <s v="A"/>
    <x v="25"/>
    <x v="29"/>
    <n v="0"/>
    <x v="2"/>
    <n v="450"/>
    <x v="3"/>
    <n v="432"/>
    <x v="16"/>
    <x v="7"/>
    <x v="56"/>
    <n v="200"/>
    <x v="24"/>
    <n v="0"/>
    <x v="3"/>
    <n v="7"/>
  </r>
  <r>
    <x v="1"/>
    <x v="1"/>
    <s v="B"/>
    <x v="25"/>
    <x v="1"/>
    <n v="0"/>
    <x v="1"/>
    <n v="450"/>
    <x v="1"/>
    <n v="432"/>
    <x v="1"/>
    <x v="7"/>
    <x v="1"/>
    <n v="200"/>
    <x v="1"/>
    <n v="0"/>
    <x v="1"/>
    <m/>
  </r>
  <r>
    <x v="1"/>
    <x v="1"/>
    <s v="C"/>
    <x v="25"/>
    <x v="1"/>
    <n v="0"/>
    <x v="1"/>
    <n v="450"/>
    <x v="1"/>
    <n v="432"/>
    <x v="1"/>
    <x v="7"/>
    <x v="1"/>
    <n v="0"/>
    <x v="1"/>
    <n v="0"/>
    <x v="1"/>
    <m/>
  </r>
  <r>
    <x v="1"/>
    <x v="94"/>
    <s v="A"/>
    <x v="25"/>
    <x v="27"/>
    <n v="0"/>
    <x v="2"/>
    <n v="500"/>
    <x v="16"/>
    <n v="432"/>
    <x v="7"/>
    <x v="67"/>
    <x v="66"/>
    <n v="100"/>
    <x v="9"/>
    <n v="0"/>
    <x v="22"/>
    <n v="7.5"/>
  </r>
  <r>
    <x v="1"/>
    <x v="1"/>
    <s v="B"/>
    <x v="37"/>
    <x v="1"/>
    <n v="0"/>
    <x v="1"/>
    <n v="450"/>
    <x v="1"/>
    <n v="240"/>
    <x v="1"/>
    <x v="9"/>
    <x v="1"/>
    <n v="350"/>
    <x v="1"/>
    <n v="70"/>
    <x v="1"/>
    <m/>
  </r>
  <r>
    <x v="1"/>
    <x v="1"/>
    <s v="C"/>
    <x v="37"/>
    <x v="1"/>
    <n v="0"/>
    <x v="1"/>
    <n v="450"/>
    <x v="1"/>
    <n v="240"/>
    <x v="1"/>
    <x v="68"/>
    <x v="1"/>
    <n v="450"/>
    <x v="1"/>
    <n v="0"/>
    <x v="1"/>
    <m/>
  </r>
  <r>
    <x v="1"/>
    <x v="95"/>
    <s v="A"/>
    <x v="37"/>
    <x v="49"/>
    <n v="0"/>
    <x v="2"/>
    <n v="300"/>
    <x v="17"/>
    <n v="240"/>
    <x v="3"/>
    <x v="6"/>
    <x v="67"/>
    <n v="200"/>
    <x v="30"/>
    <n v="120"/>
    <x v="23"/>
    <n v="8.1999999999999993"/>
  </r>
  <r>
    <x v="1"/>
    <x v="1"/>
    <s v="B"/>
    <x v="38"/>
    <x v="1"/>
    <n v="0"/>
    <x v="1"/>
    <n v="500"/>
    <x v="1"/>
    <n v="240"/>
    <x v="1"/>
    <x v="69"/>
    <x v="1"/>
    <n v="500"/>
    <x v="1"/>
    <n v="360"/>
    <x v="1"/>
    <m/>
  </r>
  <r>
    <x v="1"/>
    <x v="1"/>
    <s v="C"/>
    <x v="25"/>
    <x v="1"/>
    <n v="0"/>
    <x v="1"/>
    <n v="500"/>
    <x v="1"/>
    <n v="240"/>
    <x v="1"/>
    <x v="40"/>
    <x v="1"/>
    <n v="550"/>
    <x v="1"/>
    <n v="390"/>
    <x v="1"/>
    <m/>
  </r>
  <r>
    <x v="1"/>
    <x v="96"/>
    <s v="A"/>
    <x v="19"/>
    <x v="25"/>
    <n v="0"/>
    <x v="2"/>
    <n v="550"/>
    <x v="18"/>
    <n v="240"/>
    <x v="14"/>
    <x v="70"/>
    <x v="68"/>
    <n v="550"/>
    <x v="35"/>
    <n v="1650"/>
    <x v="24"/>
    <n v="7.5"/>
  </r>
  <r>
    <x v="1"/>
    <x v="1"/>
    <s v="B"/>
    <x v="19"/>
    <x v="1"/>
    <n v="0"/>
    <x v="1"/>
    <n v="250"/>
    <x v="1"/>
    <n v="480"/>
    <x v="1"/>
    <x v="71"/>
    <x v="1"/>
    <n v="900"/>
    <x v="1"/>
    <n v="840"/>
    <x v="1"/>
    <m/>
  </r>
  <r>
    <x v="1"/>
    <x v="1"/>
    <s v="C"/>
    <x v="25"/>
    <x v="1"/>
    <n v="0"/>
    <x v="1"/>
    <n v="450"/>
    <x v="1"/>
    <n v="480"/>
    <x v="1"/>
    <x v="57"/>
    <x v="1"/>
    <n v="550"/>
    <x v="1"/>
    <n v="420"/>
    <x v="1"/>
    <m/>
  </r>
  <r>
    <x v="1"/>
    <x v="97"/>
    <s v="A"/>
    <x v="28"/>
    <x v="31"/>
    <n v="0"/>
    <x v="2"/>
    <n v="350"/>
    <x v="12"/>
    <n v="480"/>
    <x v="10"/>
    <x v="49"/>
    <x v="69"/>
    <n v="600"/>
    <x v="36"/>
    <n v="1530"/>
    <x v="25"/>
    <n v="7"/>
  </r>
  <r>
    <x v="1"/>
    <x v="1"/>
    <s v="B"/>
    <x v="28"/>
    <x v="1"/>
    <n v="0"/>
    <x v="1"/>
    <n v="200"/>
    <x v="1"/>
    <n v="480"/>
    <x v="1"/>
    <x v="30"/>
    <x v="1"/>
    <n v="400"/>
    <x v="1"/>
    <n v="240"/>
    <x v="1"/>
    <m/>
  </r>
  <r>
    <x v="1"/>
    <x v="1"/>
    <s v="C"/>
    <x v="25"/>
    <x v="1"/>
    <n v="0"/>
    <x v="1"/>
    <n v="200"/>
    <x v="1"/>
    <n v="480"/>
    <x v="1"/>
    <x v="2"/>
    <x v="1"/>
    <n v="300"/>
    <x v="1"/>
    <n v="480"/>
    <x v="1"/>
    <m/>
  </r>
  <r>
    <x v="1"/>
    <x v="98"/>
    <s v="A"/>
    <x v="11"/>
    <x v="50"/>
    <n v="0"/>
    <x v="2"/>
    <n v="250"/>
    <x v="12"/>
    <n v="240"/>
    <x v="17"/>
    <x v="72"/>
    <x v="70"/>
    <n v="400"/>
    <x v="30"/>
    <n v="870"/>
    <x v="26"/>
    <n v="6.1"/>
  </r>
  <r>
    <x v="1"/>
    <x v="1"/>
    <s v="B"/>
    <x v="11"/>
    <x v="1"/>
    <n v="0"/>
    <x v="1"/>
    <n v="250"/>
    <x v="1"/>
    <n v="288"/>
    <x v="1"/>
    <x v="73"/>
    <x v="1"/>
    <n v="350"/>
    <x v="1"/>
    <n v="870"/>
    <x v="1"/>
    <m/>
  </r>
  <r>
    <x v="1"/>
    <x v="1"/>
    <s v="C"/>
    <x v="13"/>
    <x v="1"/>
    <n v="0"/>
    <x v="1"/>
    <n v="250"/>
    <x v="1"/>
    <n v="288"/>
    <x v="1"/>
    <x v="25"/>
    <x v="1"/>
    <n v="500"/>
    <x v="1"/>
    <n v="60"/>
    <x v="1"/>
    <m/>
  </r>
  <r>
    <x v="1"/>
    <x v="99"/>
    <s v="A"/>
    <x v="13"/>
    <x v="50"/>
    <n v="0"/>
    <x v="2"/>
    <n v="300"/>
    <x v="12"/>
    <n v="240"/>
    <x v="5"/>
    <x v="74"/>
    <x v="71"/>
    <n v="550"/>
    <x v="19"/>
    <n v="0"/>
    <x v="3"/>
    <n v="6"/>
  </r>
  <r>
    <x v="1"/>
    <x v="1"/>
    <s v="B"/>
    <x v="11"/>
    <x v="1"/>
    <n v="0"/>
    <x v="1"/>
    <n v="200"/>
    <x v="1"/>
    <n v="240"/>
    <x v="1"/>
    <x v="75"/>
    <x v="1"/>
    <n v="350"/>
    <x v="1"/>
    <n v="0"/>
    <x v="1"/>
    <m/>
  </r>
  <r>
    <x v="1"/>
    <x v="1"/>
    <s v="C"/>
    <x v="11"/>
    <x v="1"/>
    <n v="0"/>
    <x v="1"/>
    <n v="250"/>
    <x v="1"/>
    <n v="288"/>
    <x v="1"/>
    <x v="34"/>
    <x v="1"/>
    <n v="450"/>
    <x v="1"/>
    <n v="0"/>
    <x v="1"/>
    <m/>
  </r>
  <r>
    <x v="1"/>
    <x v="100"/>
    <s v="A"/>
    <x v="11"/>
    <x v="13"/>
    <n v="0"/>
    <x v="2"/>
    <n v="200"/>
    <x v="19"/>
    <n v="288"/>
    <x v="17"/>
    <x v="34"/>
    <x v="72"/>
    <n v="550"/>
    <x v="37"/>
    <n v="0"/>
    <x v="3"/>
    <n v="6.5"/>
  </r>
  <r>
    <x v="1"/>
    <x v="1"/>
    <s v="B"/>
    <x v="11"/>
    <x v="1"/>
    <n v="0"/>
    <x v="1"/>
    <n v="250"/>
    <x v="1"/>
    <n v="240"/>
    <x v="1"/>
    <x v="31"/>
    <x v="1"/>
    <n v="450"/>
    <x v="1"/>
    <n v="0"/>
    <x v="1"/>
    <m/>
  </r>
  <r>
    <x v="1"/>
    <x v="1"/>
    <s v="C"/>
    <x v="11"/>
    <x v="1"/>
    <n v="0"/>
    <x v="1"/>
    <n v="250"/>
    <x v="1"/>
    <n v="288"/>
    <x v="1"/>
    <x v="31"/>
    <x v="1"/>
    <n v="550"/>
    <x v="1"/>
    <n v="0"/>
    <x v="1"/>
    <m/>
  </r>
  <r>
    <x v="1"/>
    <x v="101"/>
    <s v="A"/>
    <x v="39"/>
    <x v="51"/>
    <n v="0"/>
    <x v="2"/>
    <n v="500"/>
    <x v="12"/>
    <n v="240"/>
    <x v="18"/>
    <x v="0"/>
    <x v="37"/>
    <n v="450"/>
    <x v="19"/>
    <n v="0"/>
    <x v="3"/>
    <n v="7"/>
  </r>
  <r>
    <x v="1"/>
    <x v="1"/>
    <s v="B"/>
    <x v="11"/>
    <x v="1"/>
    <n v="0"/>
    <x v="1"/>
    <n v="250"/>
    <x v="1"/>
    <n v="240"/>
    <x v="1"/>
    <x v="0"/>
    <x v="1"/>
    <n v="550"/>
    <x v="1"/>
    <n v="0"/>
    <x v="1"/>
    <m/>
  </r>
  <r>
    <x v="1"/>
    <x v="1"/>
    <s v="C"/>
    <x v="16"/>
    <x v="1"/>
    <n v="0"/>
    <x v="1"/>
    <n v="0"/>
    <x v="1"/>
    <n v="528"/>
    <x v="1"/>
    <x v="31"/>
    <x v="1"/>
    <n v="350"/>
    <x v="1"/>
    <n v="0"/>
    <x v="1"/>
    <m/>
  </r>
  <r>
    <x v="1"/>
    <x v="102"/>
    <s v="A"/>
    <x v="32"/>
    <x v="52"/>
    <n v="0"/>
    <x v="2"/>
    <n v="0"/>
    <x v="8"/>
    <n v="528"/>
    <x v="19"/>
    <x v="76"/>
    <x v="73"/>
    <n v="600"/>
    <x v="36"/>
    <n v="0"/>
    <x v="3"/>
    <n v="7.5"/>
  </r>
  <r>
    <x v="1"/>
    <x v="1"/>
    <s v="B"/>
    <x v="15"/>
    <x v="1"/>
    <n v="0"/>
    <x v="1"/>
    <n v="100"/>
    <x v="1"/>
    <n v="576"/>
    <x v="1"/>
    <x v="77"/>
    <x v="1"/>
    <n v="350"/>
    <x v="1"/>
    <n v="0"/>
    <x v="1"/>
    <m/>
  </r>
  <r>
    <x v="1"/>
    <x v="1"/>
    <s v="C"/>
    <x v="6"/>
    <x v="1"/>
    <n v="0"/>
    <x v="1"/>
    <n v="0"/>
    <x v="1"/>
    <n v="576"/>
    <x v="1"/>
    <x v="78"/>
    <x v="1"/>
    <n v="350"/>
    <x v="1"/>
    <n v="0"/>
    <x v="1"/>
    <m/>
  </r>
  <r>
    <x v="1"/>
    <x v="103"/>
    <s v="A"/>
    <x v="40"/>
    <x v="53"/>
    <n v="0"/>
    <x v="2"/>
    <n v="0"/>
    <x v="2"/>
    <n v="528"/>
    <x v="20"/>
    <x v="79"/>
    <x v="74"/>
    <n v="300"/>
    <x v="4"/>
    <n v="0"/>
    <x v="3"/>
    <n v="7.8"/>
  </r>
  <r>
    <x v="1"/>
    <x v="1"/>
    <s v="B"/>
    <x v="41"/>
    <x v="1"/>
    <n v="0"/>
    <x v="1"/>
    <n v="0"/>
    <x v="1"/>
    <n v="528"/>
    <x v="1"/>
    <x v="30"/>
    <x v="1"/>
    <n v="300"/>
    <x v="1"/>
    <n v="0"/>
    <x v="1"/>
    <m/>
  </r>
  <r>
    <x v="1"/>
    <x v="1"/>
    <s v="C"/>
    <x v="41"/>
    <x v="1"/>
    <n v="0"/>
    <x v="1"/>
    <n v="0"/>
    <x v="1"/>
    <n v="528"/>
    <x v="1"/>
    <x v="30"/>
    <x v="1"/>
    <n v="350"/>
    <x v="1"/>
    <n v="0"/>
    <x v="1"/>
    <m/>
  </r>
  <r>
    <x v="1"/>
    <x v="104"/>
    <s v="A"/>
    <x v="41"/>
    <x v="7"/>
    <n v="0"/>
    <x v="2"/>
    <n v="0"/>
    <x v="20"/>
    <n v="624"/>
    <x v="21"/>
    <x v="80"/>
    <x v="75"/>
    <n v="450"/>
    <x v="30"/>
    <n v="0"/>
    <x v="3"/>
    <n v="6.6"/>
  </r>
  <r>
    <x v="1"/>
    <x v="1"/>
    <s v="B"/>
    <x v="14"/>
    <x v="1"/>
    <n v="0"/>
    <x v="1"/>
    <n v="100"/>
    <x v="1"/>
    <n v="624"/>
    <x v="1"/>
    <x v="2"/>
    <x v="1"/>
    <n v="450"/>
    <x v="1"/>
    <n v="0"/>
    <x v="1"/>
    <m/>
  </r>
  <r>
    <x v="1"/>
    <x v="1"/>
    <s v="C"/>
    <x v="13"/>
    <x v="1"/>
    <n v="0"/>
    <x v="1"/>
    <n v="100"/>
    <x v="1"/>
    <n v="624"/>
    <x v="1"/>
    <x v="40"/>
    <x v="1"/>
    <n v="350"/>
    <x v="1"/>
    <n v="0"/>
    <x v="1"/>
    <m/>
  </r>
  <r>
    <x v="1"/>
    <x v="105"/>
    <s v="A"/>
    <x v="28"/>
    <x v="54"/>
    <n v="0"/>
    <x v="2"/>
    <n v="250"/>
    <x v="21"/>
    <n v="624"/>
    <x v="21"/>
    <x v="9"/>
    <x v="39"/>
    <n v="400"/>
    <x v="30"/>
    <n v="0"/>
    <x v="3"/>
    <n v="6"/>
  </r>
  <r>
    <x v="1"/>
    <x v="1"/>
    <s v="B"/>
    <x v="28"/>
    <x v="1"/>
    <n v="0"/>
    <x v="1"/>
    <n v="200"/>
    <x v="1"/>
    <n v="624"/>
    <x v="1"/>
    <x v="1"/>
    <x v="1"/>
    <n v="350"/>
    <x v="1"/>
    <n v="0"/>
    <x v="1"/>
    <m/>
  </r>
  <r>
    <x v="1"/>
    <x v="1"/>
    <s v="C"/>
    <x v="28"/>
    <x v="1"/>
    <n v="0"/>
    <x v="1"/>
    <n v="200"/>
    <x v="1"/>
    <n v="624"/>
    <x v="1"/>
    <x v="25"/>
    <x v="1"/>
    <n v="500"/>
    <x v="1"/>
    <n v="0"/>
    <x v="1"/>
    <m/>
  </r>
  <r>
    <x v="1"/>
    <x v="106"/>
    <s v="A"/>
    <x v="19"/>
    <x v="13"/>
    <n v="0"/>
    <x v="2"/>
    <n v="250"/>
    <x v="12"/>
    <n v="672"/>
    <x v="22"/>
    <x v="1"/>
    <x v="21"/>
    <n v="450"/>
    <x v="4"/>
    <n v="0"/>
    <x v="3"/>
    <n v="6.6"/>
  </r>
  <r>
    <x v="1"/>
    <x v="1"/>
    <s v="B"/>
    <x v="14"/>
    <x v="1"/>
    <n v="0"/>
    <x v="1"/>
    <n v="250"/>
    <x v="1"/>
    <n v="672"/>
    <x v="1"/>
    <x v="1"/>
    <x v="1"/>
    <n v="300"/>
    <x v="1"/>
    <n v="0"/>
    <x v="1"/>
    <m/>
  </r>
  <r>
    <x v="1"/>
    <x v="1"/>
    <s v="C"/>
    <x v="19"/>
    <x v="1"/>
    <n v="0"/>
    <x v="1"/>
    <n v="250"/>
    <x v="1"/>
    <n v="672"/>
    <x v="1"/>
    <x v="1"/>
    <x v="1"/>
    <n v="200"/>
    <x v="1"/>
    <n v="0"/>
    <x v="1"/>
    <m/>
  </r>
  <r>
    <x v="1"/>
    <x v="107"/>
    <s v="A"/>
    <x v="14"/>
    <x v="24"/>
    <n v="0"/>
    <x v="2"/>
    <n v="300"/>
    <x v="11"/>
    <n v="696"/>
    <x v="23"/>
    <x v="81"/>
    <x v="76"/>
    <n v="375"/>
    <x v="21"/>
    <n v="0"/>
    <x v="3"/>
    <n v="7.5"/>
  </r>
  <r>
    <x v="1"/>
    <x v="1"/>
    <s v="B"/>
    <x v="14"/>
    <x v="1"/>
    <n v="0"/>
    <x v="1"/>
    <n v="350"/>
    <x v="1"/>
    <n v="672"/>
    <x v="1"/>
    <x v="35"/>
    <x v="1"/>
    <n v="300"/>
    <x v="1"/>
    <n v="0"/>
    <x v="1"/>
    <m/>
  </r>
  <r>
    <x v="1"/>
    <x v="1"/>
    <s v="C"/>
    <x v="14"/>
    <x v="1"/>
    <n v="0"/>
    <x v="1"/>
    <n v="300"/>
    <x v="1"/>
    <n v="672"/>
    <x v="1"/>
    <x v="35"/>
    <x v="1"/>
    <n v="375"/>
    <x v="1"/>
    <n v="0"/>
    <x v="1"/>
    <m/>
  </r>
  <r>
    <x v="1"/>
    <x v="108"/>
    <s v="A"/>
    <x v="26"/>
    <x v="55"/>
    <n v="0"/>
    <x v="6"/>
    <n v="500"/>
    <x v="22"/>
    <n v="1248"/>
    <x v="24"/>
    <x v="40"/>
    <x v="21"/>
    <n v="200"/>
    <x v="12"/>
    <n v="0"/>
    <x v="3"/>
    <n v="20"/>
  </r>
  <r>
    <x v="1"/>
    <x v="1"/>
    <s v="B"/>
    <x v="42"/>
    <x v="1"/>
    <n v="960"/>
    <x v="1"/>
    <n v="300"/>
    <x v="1"/>
    <n v="1440"/>
    <x v="1"/>
    <x v="1"/>
    <x v="1"/>
    <n v="200"/>
    <x v="1"/>
    <n v="0"/>
    <x v="1"/>
    <m/>
  </r>
  <r>
    <x v="1"/>
    <x v="1"/>
    <s v="C"/>
    <x v="42"/>
    <x v="1"/>
    <n v="2496"/>
    <x v="1"/>
    <n v="0"/>
    <x v="1"/>
    <n v="1152"/>
    <x v="1"/>
    <x v="25"/>
    <x v="1"/>
    <n v="100"/>
    <x v="1"/>
    <n v="0"/>
    <x v="1"/>
    <m/>
  </r>
  <r>
    <x v="1"/>
    <x v="109"/>
    <s v="A"/>
    <x v="43"/>
    <x v="56"/>
    <n v="2880"/>
    <x v="7"/>
    <n v="0"/>
    <x v="2"/>
    <n v="0"/>
    <x v="25"/>
    <x v="25"/>
    <x v="77"/>
    <n v="0"/>
    <x v="15"/>
    <n v="0"/>
    <x v="3"/>
    <n v="82"/>
  </r>
  <r>
    <x v="1"/>
    <x v="1"/>
    <s v="B"/>
    <x v="42"/>
    <x v="1"/>
    <n v="2104"/>
    <x v="1"/>
    <n v="0"/>
    <x v="1"/>
    <n v="1536"/>
    <x v="1"/>
    <x v="2"/>
    <x v="1"/>
    <n v="0"/>
    <x v="1"/>
    <n v="0"/>
    <x v="1"/>
    <m/>
  </r>
  <r>
    <x v="1"/>
    <x v="1"/>
    <s v="C"/>
    <x v="42"/>
    <x v="1"/>
    <n v="2112"/>
    <x v="1"/>
    <n v="0"/>
    <x v="1"/>
    <n v="1536"/>
    <x v="1"/>
    <x v="6"/>
    <x v="1"/>
    <n v="0"/>
    <x v="1"/>
    <n v="0"/>
    <x v="1"/>
    <m/>
  </r>
  <r>
    <x v="1"/>
    <x v="110"/>
    <s v="A"/>
    <x v="42"/>
    <x v="57"/>
    <n v="1824"/>
    <x v="8"/>
    <n v="0"/>
    <x v="2"/>
    <n v="960"/>
    <x v="26"/>
    <x v="2"/>
    <x v="78"/>
    <n v="0"/>
    <x v="15"/>
    <n v="0"/>
    <x v="3"/>
    <n v="39"/>
  </r>
  <r>
    <x v="1"/>
    <x v="1"/>
    <s v="B"/>
    <x v="33"/>
    <x v="1"/>
    <n v="2588"/>
    <x v="1"/>
    <n v="0"/>
    <x v="1"/>
    <n v="1546"/>
    <x v="1"/>
    <x v="7"/>
    <x v="1"/>
    <n v="0"/>
    <x v="1"/>
    <n v="0"/>
    <x v="1"/>
    <m/>
  </r>
  <r>
    <x v="1"/>
    <x v="1"/>
    <s v="C"/>
    <x v="19"/>
    <x v="1"/>
    <n v="2112"/>
    <x v="1"/>
    <n v="0"/>
    <x v="1"/>
    <n v="1536"/>
    <x v="1"/>
    <x v="7"/>
    <x v="1"/>
    <n v="0"/>
    <x v="1"/>
    <n v="0"/>
    <x v="1"/>
    <m/>
  </r>
  <r>
    <x v="1"/>
    <x v="111"/>
    <s v="A"/>
    <x v="42"/>
    <x v="58"/>
    <n v="2496"/>
    <x v="9"/>
    <n v="0"/>
    <x v="8"/>
    <n v="1248"/>
    <x v="27"/>
    <x v="10"/>
    <x v="79"/>
    <n v="100"/>
    <x v="38"/>
    <n v="0"/>
    <x v="3"/>
    <n v="50"/>
  </r>
  <r>
    <x v="1"/>
    <x v="1"/>
    <s v="B"/>
    <x v="33"/>
    <x v="1"/>
    <n v="2688"/>
    <x v="1"/>
    <n v="0"/>
    <x v="1"/>
    <n v="1200"/>
    <x v="1"/>
    <x v="10"/>
    <x v="1"/>
    <n v="0"/>
    <x v="1"/>
    <n v="0"/>
    <x v="1"/>
    <m/>
  </r>
  <r>
    <x v="1"/>
    <x v="1"/>
    <s v="C"/>
    <x v="42"/>
    <x v="1"/>
    <n v="3072"/>
    <x v="1"/>
    <n v="100"/>
    <x v="1"/>
    <n v="792"/>
    <x v="1"/>
    <x v="82"/>
    <x v="1"/>
    <n v="0"/>
    <x v="1"/>
    <n v="0"/>
    <x v="1"/>
    <m/>
  </r>
  <r>
    <x v="1"/>
    <x v="112"/>
    <s v="A"/>
    <x v="42"/>
    <x v="59"/>
    <n v="2683"/>
    <x v="10"/>
    <n v="0"/>
    <x v="2"/>
    <n v="792"/>
    <x v="28"/>
    <x v="3"/>
    <x v="80"/>
    <n v="0"/>
    <x v="15"/>
    <n v="0"/>
    <x v="3"/>
    <n v="20"/>
  </r>
  <r>
    <x v="1"/>
    <x v="1"/>
    <s v="B"/>
    <x v="44"/>
    <x v="1"/>
    <n v="1056"/>
    <x v="1"/>
    <n v="0"/>
    <x v="1"/>
    <n v="1728"/>
    <x v="1"/>
    <x v="7"/>
    <x v="1"/>
    <n v="0"/>
    <x v="1"/>
    <n v="0"/>
    <x v="1"/>
    <m/>
  </r>
  <r>
    <x v="1"/>
    <x v="1"/>
    <s v="C"/>
    <x v="42"/>
    <x v="1"/>
    <n v="1030"/>
    <x v="1"/>
    <n v="0"/>
    <x v="1"/>
    <n v="2160"/>
    <x v="1"/>
    <x v="15"/>
    <x v="1"/>
    <n v="0"/>
    <x v="1"/>
    <n v="0"/>
    <x v="1"/>
    <m/>
  </r>
  <r>
    <x v="1"/>
    <x v="113"/>
    <s v="A"/>
    <x v="42"/>
    <x v="60"/>
    <n v="2256"/>
    <x v="11"/>
    <n v="0"/>
    <x v="2"/>
    <n v="1248"/>
    <x v="29"/>
    <x v="66"/>
    <x v="81"/>
    <n v="0"/>
    <x v="15"/>
    <n v="0"/>
    <x v="3"/>
    <n v="34"/>
  </r>
  <r>
    <x v="1"/>
    <x v="1"/>
    <s v="B"/>
    <x v="42"/>
    <x v="1"/>
    <n v="2330"/>
    <x v="1"/>
    <n v="0"/>
    <x v="1"/>
    <n v="1248"/>
    <x v="1"/>
    <x v="10"/>
    <x v="1"/>
    <n v="0"/>
    <x v="1"/>
    <n v="0"/>
    <x v="1"/>
    <m/>
  </r>
  <r>
    <x v="1"/>
    <x v="1"/>
    <s v="C"/>
    <x v="45"/>
    <x v="1"/>
    <n v="4176"/>
    <x v="1"/>
    <n v="0"/>
    <x v="1"/>
    <n v="1632"/>
    <x v="1"/>
    <x v="15"/>
    <x v="1"/>
    <n v="0"/>
    <x v="1"/>
    <n v="0"/>
    <x v="1"/>
    <m/>
  </r>
  <r>
    <x v="1"/>
    <x v="114"/>
    <s v="A"/>
    <x v="42"/>
    <x v="61"/>
    <n v="1484"/>
    <x v="12"/>
    <n v="0"/>
    <x v="2"/>
    <n v="960"/>
    <x v="30"/>
    <x v="10"/>
    <x v="82"/>
    <n v="0"/>
    <x v="15"/>
    <n v="0"/>
    <x v="3"/>
    <n v="82"/>
  </r>
  <r>
    <x v="1"/>
    <x v="1"/>
    <s v="B"/>
    <x v="42"/>
    <x v="1"/>
    <n v="864"/>
    <x v="1"/>
    <n v="0"/>
    <x v="1"/>
    <n v="1536"/>
    <x v="1"/>
    <x v="10"/>
    <x v="1"/>
    <n v="0"/>
    <x v="1"/>
    <n v="0"/>
    <x v="1"/>
    <m/>
  </r>
  <r>
    <x v="1"/>
    <x v="1"/>
    <s v="C"/>
    <x v="46"/>
    <x v="1"/>
    <n v="2160"/>
    <x v="1"/>
    <n v="0"/>
    <x v="1"/>
    <n v="1824"/>
    <x v="1"/>
    <x v="83"/>
    <x v="1"/>
    <n v="0"/>
    <x v="1"/>
    <n v="0"/>
    <x v="1"/>
    <m/>
  </r>
  <r>
    <x v="1"/>
    <x v="115"/>
    <s v="A"/>
    <x v="42"/>
    <x v="62"/>
    <n v="2488"/>
    <x v="13"/>
    <n v="0"/>
    <x v="23"/>
    <n v="1968"/>
    <x v="31"/>
    <x v="10"/>
    <x v="5"/>
    <n v="0"/>
    <x v="15"/>
    <n v="0"/>
    <x v="3"/>
    <n v="107"/>
  </r>
  <r>
    <x v="1"/>
    <x v="1"/>
    <s v="B"/>
    <x v="42"/>
    <x v="1"/>
    <n v="2928"/>
    <x v="1"/>
    <n v="300"/>
    <x v="1"/>
    <n v="2508"/>
    <x v="1"/>
    <x v="10"/>
    <x v="1"/>
    <n v="0"/>
    <x v="1"/>
    <n v="0"/>
    <x v="1"/>
    <m/>
  </r>
  <r>
    <x v="1"/>
    <x v="1"/>
    <s v="C"/>
    <x v="42"/>
    <x v="1"/>
    <n v="1836"/>
    <x v="1"/>
    <n v="550"/>
    <x v="1"/>
    <n v="1968"/>
    <x v="1"/>
    <x v="2"/>
    <x v="1"/>
    <n v="0"/>
    <x v="1"/>
    <n v="0"/>
    <x v="1"/>
    <m/>
  </r>
  <r>
    <x v="5"/>
    <x v="116"/>
    <s v="A"/>
    <x v="42"/>
    <x v="63"/>
    <n v="2232"/>
    <x v="14"/>
    <n v="600"/>
    <x v="7"/>
    <n v="1974"/>
    <x v="32"/>
    <x v="62"/>
    <x v="83"/>
    <n v="0"/>
    <x v="15"/>
    <n v="0"/>
    <x v="3"/>
    <n v="126"/>
  </r>
  <r>
    <x v="1"/>
    <x v="1"/>
    <s v="B"/>
    <x v="26"/>
    <x v="1"/>
    <n v="5760"/>
    <x v="1"/>
    <n v="0"/>
    <x v="1"/>
    <n v="1344"/>
    <x v="1"/>
    <x v="10"/>
    <x v="1"/>
    <n v="0"/>
    <x v="1"/>
    <n v="0"/>
    <x v="1"/>
    <m/>
  </r>
  <r>
    <x v="1"/>
    <x v="1"/>
    <s v="C"/>
    <x v="47"/>
    <x v="1"/>
    <n v="4272"/>
    <x v="1"/>
    <n v="0"/>
    <x v="1"/>
    <n v="1110"/>
    <x v="1"/>
    <x v="10"/>
    <x v="1"/>
    <n v="0"/>
    <x v="1"/>
    <n v="0"/>
    <x v="1"/>
    <m/>
  </r>
  <r>
    <x v="1"/>
    <x v="117"/>
    <s v="A"/>
    <x v="31"/>
    <x v="64"/>
    <n v="3526"/>
    <x v="15"/>
    <n v="700"/>
    <x v="24"/>
    <n v="0"/>
    <x v="2"/>
    <x v="84"/>
    <x v="84"/>
    <n v="0"/>
    <x v="15"/>
    <n v="0"/>
    <x v="3"/>
    <n v="230"/>
  </r>
  <r>
    <x v="1"/>
    <x v="1"/>
    <s v="B"/>
    <x v="42"/>
    <x v="1"/>
    <n v="2304"/>
    <x v="1"/>
    <n v="2350"/>
    <x v="1"/>
    <n v="0"/>
    <x v="1"/>
    <x v="9"/>
    <x v="1"/>
    <n v="0"/>
    <x v="1"/>
    <n v="0"/>
    <x v="1"/>
    <m/>
  </r>
  <r>
    <x v="1"/>
    <x v="1"/>
    <s v="C"/>
    <x v="33"/>
    <x v="1"/>
    <n v="2304"/>
    <x v="1"/>
    <n v="1950"/>
    <x v="1"/>
    <n v="0"/>
    <x v="1"/>
    <x v="10"/>
    <x v="1"/>
    <n v="0"/>
    <x v="1"/>
    <n v="0"/>
    <x v="1"/>
    <m/>
  </r>
  <r>
    <x v="1"/>
    <x v="118"/>
    <s v="A"/>
    <x v="5"/>
    <x v="65"/>
    <n v="2784"/>
    <x v="16"/>
    <n v="1700"/>
    <x v="25"/>
    <n v="0"/>
    <x v="2"/>
    <x v="19"/>
    <x v="85"/>
    <n v="0"/>
    <x v="15"/>
    <n v="0"/>
    <x v="3"/>
    <n v="387"/>
  </r>
  <r>
    <x v="1"/>
    <x v="1"/>
    <s v="B"/>
    <x v="11"/>
    <x v="1"/>
    <n v="9072"/>
    <x v="1"/>
    <n v="800"/>
    <x v="1"/>
    <n v="0"/>
    <x v="1"/>
    <x v="19"/>
    <x v="1"/>
    <n v="0"/>
    <x v="1"/>
    <n v="0"/>
    <x v="1"/>
    <m/>
  </r>
  <r>
    <x v="1"/>
    <x v="1"/>
    <s v="C"/>
    <x v="33"/>
    <x v="1"/>
    <n v="6624"/>
    <x v="1"/>
    <n v="1650"/>
    <x v="1"/>
    <n v="0"/>
    <x v="1"/>
    <x v="39"/>
    <x v="1"/>
    <n v="0"/>
    <x v="1"/>
    <n v="0"/>
    <x v="1"/>
    <m/>
  </r>
  <r>
    <x v="1"/>
    <x v="119"/>
    <s v="A"/>
    <x v="24"/>
    <x v="66"/>
    <n v="0"/>
    <x v="2"/>
    <n v="2950"/>
    <x v="26"/>
    <n v="488"/>
    <x v="33"/>
    <x v="39"/>
    <x v="86"/>
    <n v="0"/>
    <x v="15"/>
    <n v="0"/>
    <x v="3"/>
    <n v="266"/>
  </r>
  <r>
    <x v="1"/>
    <x v="1"/>
    <s v="B"/>
    <x v="38"/>
    <x v="1"/>
    <n v="0"/>
    <x v="1"/>
    <n v="1200"/>
    <x v="1"/>
    <n v="2928"/>
    <x v="1"/>
    <x v="16"/>
    <x v="1"/>
    <n v="0"/>
    <x v="1"/>
    <n v="0"/>
    <x v="1"/>
    <m/>
  </r>
  <r>
    <x v="1"/>
    <x v="1"/>
    <s v="C"/>
    <x v="42"/>
    <x v="1"/>
    <n v="0"/>
    <x v="1"/>
    <n v="500"/>
    <x v="1"/>
    <n v="2928"/>
    <x v="1"/>
    <x v="16"/>
    <x v="1"/>
    <n v="0"/>
    <x v="1"/>
    <n v="0"/>
    <x v="1"/>
    <m/>
  </r>
  <r>
    <x v="1"/>
    <x v="120"/>
    <s v="A"/>
    <x v="26"/>
    <x v="67"/>
    <n v="0"/>
    <x v="17"/>
    <n v="950"/>
    <x v="3"/>
    <n v="2718"/>
    <x v="34"/>
    <x v="17"/>
    <x v="87"/>
    <n v="0"/>
    <x v="15"/>
    <n v="0"/>
    <x v="3"/>
    <n v="190"/>
  </r>
  <r>
    <x v="1"/>
    <x v="1"/>
    <s v="B"/>
    <x v="11"/>
    <x v="1"/>
    <n v="3024"/>
    <x v="1"/>
    <n v="400"/>
    <x v="1"/>
    <n v="1392"/>
    <x v="1"/>
    <x v="39"/>
    <x v="1"/>
    <n v="0"/>
    <x v="1"/>
    <n v="0"/>
    <x v="1"/>
    <m/>
  </r>
  <r>
    <x v="1"/>
    <x v="1"/>
    <s v="C"/>
    <x v="23"/>
    <x v="1"/>
    <n v="3936"/>
    <x v="1"/>
    <n v="0"/>
    <x v="1"/>
    <n v="1392"/>
    <x v="1"/>
    <x v="39"/>
    <x v="1"/>
    <n v="0"/>
    <x v="1"/>
    <n v="0"/>
    <x v="1"/>
    <m/>
  </r>
  <r>
    <x v="1"/>
    <x v="121"/>
    <s v="A"/>
    <x v="32"/>
    <x v="68"/>
    <n v="3802"/>
    <x v="18"/>
    <n v="0"/>
    <x v="22"/>
    <n v="1344"/>
    <x v="35"/>
    <x v="39"/>
    <x v="88"/>
    <n v="0"/>
    <x v="15"/>
    <n v="0"/>
    <x v="3"/>
    <m/>
  </r>
  <r>
    <x v="1"/>
    <x v="1"/>
    <s v="B"/>
    <x v="27"/>
    <x v="1"/>
    <n v="3984"/>
    <x v="1"/>
    <n v="300"/>
    <x v="1"/>
    <n v="720"/>
    <x v="1"/>
    <x v="39"/>
    <x v="1"/>
    <n v="0"/>
    <x v="1"/>
    <n v="0"/>
    <x v="1"/>
    <m/>
  </r>
  <r>
    <x v="1"/>
    <x v="1"/>
    <s v="C"/>
    <x v="42"/>
    <x v="1"/>
    <n v="2880"/>
    <x v="1"/>
    <n v="500"/>
    <x v="1"/>
    <n v="480"/>
    <x v="1"/>
    <x v="39"/>
    <x v="1"/>
    <n v="0"/>
    <x v="1"/>
    <n v="0"/>
    <x v="1"/>
    <m/>
  </r>
  <r>
    <x v="1"/>
    <x v="122"/>
    <s v="A"/>
    <x v="21"/>
    <x v="67"/>
    <n v="0"/>
    <x v="19"/>
    <n v="2900"/>
    <x v="27"/>
    <n v="432"/>
    <x v="36"/>
    <x v="39"/>
    <x v="89"/>
    <n v="0"/>
    <x v="15"/>
    <n v="0"/>
    <x v="3"/>
    <n v="125"/>
  </r>
  <r>
    <x v="1"/>
    <x v="1"/>
    <s v="B"/>
    <x v="48"/>
    <x v="1"/>
    <n v="0"/>
    <x v="1"/>
    <n v="2350"/>
    <x v="1"/>
    <n v="360"/>
    <x v="1"/>
    <x v="61"/>
    <x v="1"/>
    <n v="0"/>
    <x v="1"/>
    <n v="0"/>
    <x v="1"/>
    <m/>
  </r>
  <r>
    <x v="1"/>
    <x v="1"/>
    <s v="C"/>
    <x v="40"/>
    <x v="1"/>
    <n v="3264"/>
    <x v="1"/>
    <n v="2350"/>
    <x v="1"/>
    <n v="0"/>
    <x v="1"/>
    <x v="85"/>
    <x v="1"/>
    <n v="0"/>
    <x v="1"/>
    <n v="0"/>
    <x v="1"/>
    <m/>
  </r>
  <r>
    <x v="1"/>
    <x v="123"/>
    <s v="A"/>
    <x v="22"/>
    <x v="69"/>
    <n v="3744"/>
    <x v="20"/>
    <n v="750"/>
    <x v="14"/>
    <n v="0"/>
    <x v="2"/>
    <x v="39"/>
    <x v="11"/>
    <n v="0"/>
    <x v="15"/>
    <n v="0"/>
    <x v="3"/>
    <n v="120"/>
  </r>
  <r>
    <x v="1"/>
    <x v="1"/>
    <s v="B"/>
    <x v="25"/>
    <x v="1"/>
    <n v="3256"/>
    <x v="1"/>
    <n v="250"/>
    <x v="1"/>
    <n v="0"/>
    <x v="1"/>
    <x v="68"/>
    <x v="1"/>
    <n v="0"/>
    <x v="1"/>
    <n v="0"/>
    <x v="1"/>
    <m/>
  </r>
  <r>
    <x v="1"/>
    <x v="1"/>
    <s v="C"/>
    <x v="28"/>
    <x v="1"/>
    <n v="2496"/>
    <x v="1"/>
    <n v="500"/>
    <x v="1"/>
    <n v="0"/>
    <x v="1"/>
    <x v="68"/>
    <x v="1"/>
    <n v="0"/>
    <x v="1"/>
    <n v="0"/>
    <x v="1"/>
    <m/>
  </r>
  <r>
    <x v="1"/>
    <x v="124"/>
    <s v="A"/>
    <x v="39"/>
    <x v="70"/>
    <n v="2730"/>
    <x v="21"/>
    <n v="1850"/>
    <x v="28"/>
    <n v="150"/>
    <x v="37"/>
    <x v="68"/>
    <x v="90"/>
    <n v="0"/>
    <x v="15"/>
    <n v="0"/>
    <x v="3"/>
    <n v="130"/>
  </r>
  <r>
    <x v="1"/>
    <x v="1"/>
    <s v="B"/>
    <x v="42"/>
    <x v="1"/>
    <n v="576"/>
    <x v="1"/>
    <n v="200"/>
    <x v="1"/>
    <n v="1896"/>
    <x v="1"/>
    <x v="68"/>
    <x v="1"/>
    <n v="0"/>
    <x v="1"/>
    <n v="0"/>
    <x v="1"/>
    <m/>
  </r>
  <r>
    <x v="1"/>
    <x v="1"/>
    <s v="C"/>
    <x v="42"/>
    <x v="1"/>
    <n v="1152"/>
    <x v="1"/>
    <n v="0"/>
    <x v="1"/>
    <n v="2544"/>
    <x v="1"/>
    <x v="68"/>
    <x v="1"/>
    <n v="0"/>
    <x v="1"/>
    <n v="0"/>
    <x v="1"/>
    <m/>
  </r>
  <r>
    <x v="1"/>
    <x v="125"/>
    <s v="A"/>
    <x v="42"/>
    <x v="62"/>
    <n v="3168"/>
    <x v="22"/>
    <n v="0"/>
    <x v="2"/>
    <n v="2256"/>
    <x v="38"/>
    <x v="68"/>
    <x v="90"/>
    <n v="0"/>
    <x v="15"/>
    <n v="0"/>
    <x v="3"/>
    <n v="125"/>
  </r>
  <r>
    <x v="1"/>
    <x v="1"/>
    <s v="B"/>
    <x v="42"/>
    <x v="1"/>
    <n v="944"/>
    <x v="1"/>
    <n v="0"/>
    <x v="1"/>
    <n v="2256"/>
    <x v="1"/>
    <x v="68"/>
    <x v="1"/>
    <n v="0"/>
    <x v="1"/>
    <n v="0"/>
    <x v="1"/>
    <m/>
  </r>
  <r>
    <x v="1"/>
    <x v="1"/>
    <s v="C"/>
    <x v="42"/>
    <x v="1"/>
    <n v="864"/>
    <x v="1"/>
    <n v="0"/>
    <x v="1"/>
    <n v="2160"/>
    <x v="1"/>
    <x v="68"/>
    <x v="1"/>
    <n v="0"/>
    <x v="1"/>
    <n v="0"/>
    <x v="1"/>
    <m/>
  </r>
  <r>
    <x v="1"/>
    <x v="126"/>
    <s v="A"/>
    <x v="42"/>
    <x v="62"/>
    <n v="960"/>
    <x v="23"/>
    <n v="0"/>
    <x v="2"/>
    <n v="2136"/>
    <x v="39"/>
    <x v="61"/>
    <x v="91"/>
    <n v="0"/>
    <x v="15"/>
    <n v="0"/>
    <x v="3"/>
    <n v="112"/>
  </r>
  <r>
    <x v="1"/>
    <x v="1"/>
    <s v="B"/>
    <x v="42"/>
    <x v="1"/>
    <n v="1536"/>
    <x v="1"/>
    <n v="0"/>
    <x v="1"/>
    <n v="2064"/>
    <x v="1"/>
    <x v="61"/>
    <x v="1"/>
    <n v="0"/>
    <x v="1"/>
    <n v="0"/>
    <x v="1"/>
    <m/>
  </r>
  <r>
    <x v="1"/>
    <x v="1"/>
    <s v="C"/>
    <x v="42"/>
    <x v="1"/>
    <n v="672"/>
    <x v="1"/>
    <n v="0"/>
    <x v="1"/>
    <n v="1968"/>
    <x v="1"/>
    <x v="61"/>
    <x v="1"/>
    <n v="0"/>
    <x v="1"/>
    <n v="0"/>
    <x v="1"/>
    <m/>
  </r>
  <r>
    <x v="1"/>
    <x v="127"/>
    <s v="A"/>
    <x v="42"/>
    <x v="62"/>
    <n v="912"/>
    <x v="24"/>
    <n v="0"/>
    <x v="2"/>
    <n v="1059"/>
    <x v="40"/>
    <x v="61"/>
    <x v="92"/>
    <n v="0"/>
    <x v="15"/>
    <n v="0"/>
    <x v="3"/>
    <n v="115"/>
  </r>
  <r>
    <x v="1"/>
    <x v="1"/>
    <s v="B"/>
    <x v="42"/>
    <x v="1"/>
    <n v="816"/>
    <x v="1"/>
    <n v="0"/>
    <x v="1"/>
    <n v="3168"/>
    <x v="1"/>
    <x v="17"/>
    <x v="1"/>
    <n v="0"/>
    <x v="1"/>
    <n v="0"/>
    <x v="1"/>
    <m/>
  </r>
  <r>
    <x v="1"/>
    <x v="1"/>
    <s v="C"/>
    <x v="42"/>
    <x v="1"/>
    <n v="812"/>
    <x v="1"/>
    <n v="0"/>
    <x v="1"/>
    <n v="3264"/>
    <x v="1"/>
    <x v="61"/>
    <x v="1"/>
    <n v="0"/>
    <x v="1"/>
    <n v="0"/>
    <x v="1"/>
    <m/>
  </r>
  <r>
    <x v="1"/>
    <x v="128"/>
    <s v="A"/>
    <x v="42"/>
    <x v="71"/>
    <n v="2160"/>
    <x v="25"/>
    <n v="600"/>
    <x v="7"/>
    <n v="1056"/>
    <x v="41"/>
    <x v="61"/>
    <x v="92"/>
    <n v="0"/>
    <x v="15"/>
    <n v="0"/>
    <x v="3"/>
    <m/>
  </r>
  <r>
    <x v="1"/>
    <x v="1"/>
    <s v="B"/>
    <x v="42"/>
    <x v="1"/>
    <n v="1468"/>
    <x v="1"/>
    <n v="0"/>
    <x v="1"/>
    <n v="240"/>
    <x v="1"/>
    <x v="17"/>
    <x v="1"/>
    <n v="0"/>
    <x v="1"/>
    <n v="0"/>
    <x v="1"/>
    <m/>
  </r>
  <r>
    <x v="1"/>
    <x v="1"/>
    <s v="C"/>
    <x v="21"/>
    <x v="1"/>
    <n v="0"/>
    <x v="1"/>
    <n v="0"/>
    <x v="1"/>
    <n v="2208"/>
    <x v="1"/>
    <x v="61"/>
    <x v="1"/>
    <n v="0"/>
    <x v="1"/>
    <n v="0"/>
    <x v="1"/>
    <m/>
  </r>
  <r>
    <x v="1"/>
    <x v="129"/>
    <s v="A"/>
    <x v="42"/>
    <x v="72"/>
    <n v="3216"/>
    <x v="26"/>
    <n v="0"/>
    <x v="2"/>
    <n v="864"/>
    <x v="12"/>
    <x v="86"/>
    <x v="93"/>
    <n v="0"/>
    <x v="15"/>
    <n v="0"/>
    <x v="3"/>
    <n v="156"/>
  </r>
  <r>
    <x v="1"/>
    <x v="1"/>
    <s v="B"/>
    <x v="42"/>
    <x v="1"/>
    <n v="3216"/>
    <x v="1"/>
    <n v="0"/>
    <x v="1"/>
    <n v="864"/>
    <x v="1"/>
    <x v="86"/>
    <x v="1"/>
    <n v="0"/>
    <x v="1"/>
    <n v="0"/>
    <x v="1"/>
    <m/>
  </r>
  <r>
    <x v="1"/>
    <x v="1"/>
    <s v="C"/>
    <x v="27"/>
    <x v="1"/>
    <n v="3216"/>
    <x v="1"/>
    <n v="0"/>
    <x v="1"/>
    <n v="0"/>
    <x v="1"/>
    <x v="86"/>
    <x v="1"/>
    <n v="0"/>
    <x v="1"/>
    <n v="0"/>
    <x v="1"/>
    <m/>
  </r>
  <r>
    <x v="1"/>
    <x v="130"/>
    <s v="A"/>
    <x v="33"/>
    <x v="43"/>
    <n v="3214"/>
    <x v="27"/>
    <n v="0"/>
    <x v="2"/>
    <n v="960"/>
    <x v="42"/>
    <x v="61"/>
    <x v="92"/>
    <n v="0"/>
    <x v="15"/>
    <n v="0"/>
    <x v="3"/>
    <m/>
  </r>
  <r>
    <x v="1"/>
    <x v="1"/>
    <s v="B"/>
    <x v="33"/>
    <x v="1"/>
    <n v="2592"/>
    <x v="1"/>
    <n v="0"/>
    <x v="1"/>
    <n v="960"/>
    <x v="1"/>
    <x v="61"/>
    <x v="1"/>
    <n v="0"/>
    <x v="1"/>
    <n v="0"/>
    <x v="1"/>
    <m/>
  </r>
  <r>
    <x v="1"/>
    <x v="1"/>
    <s v="C"/>
    <x v="33"/>
    <x v="1"/>
    <n v="576"/>
    <x v="1"/>
    <n v="0"/>
    <x v="1"/>
    <n v="3210"/>
    <x v="1"/>
    <x v="17"/>
    <x v="1"/>
    <n v="0"/>
    <x v="1"/>
    <n v="0"/>
    <x v="1"/>
    <m/>
  </r>
  <r>
    <x v="1"/>
    <x v="131"/>
    <s v="A"/>
    <x v="33"/>
    <x v="73"/>
    <n v="576"/>
    <x v="28"/>
    <n v="0"/>
    <x v="7"/>
    <n v="2784"/>
    <x v="43"/>
    <x v="61"/>
    <x v="91"/>
    <n v="0"/>
    <x v="15"/>
    <n v="0"/>
    <x v="3"/>
    <n v="65"/>
  </r>
  <r>
    <x v="1"/>
    <x v="1"/>
    <s v="B"/>
    <x v="33"/>
    <x v="1"/>
    <n v="576"/>
    <x v="1"/>
    <n v="0"/>
    <x v="1"/>
    <n v="2064"/>
    <x v="1"/>
    <x v="61"/>
    <x v="1"/>
    <n v="0"/>
    <x v="1"/>
    <n v="0"/>
    <x v="1"/>
    <m/>
  </r>
  <r>
    <x v="1"/>
    <x v="1"/>
    <s v="C"/>
    <x v="49"/>
    <x v="1"/>
    <n v="384"/>
    <x v="1"/>
    <n v="600"/>
    <x v="1"/>
    <n v="1728"/>
    <x v="1"/>
    <x v="61"/>
    <x v="1"/>
    <n v="0"/>
    <x v="1"/>
    <n v="0"/>
    <x v="1"/>
    <m/>
  </r>
  <r>
    <x v="1"/>
    <x v="132"/>
    <s v="A"/>
    <x v="33"/>
    <x v="74"/>
    <n v="2156"/>
    <x v="29"/>
    <n v="150"/>
    <x v="29"/>
    <n v="864"/>
    <x v="44"/>
    <x v="18"/>
    <x v="94"/>
    <n v="0"/>
    <x v="15"/>
    <n v="0"/>
    <x v="3"/>
    <n v="95"/>
  </r>
  <r>
    <x v="1"/>
    <x v="1"/>
    <s v="B"/>
    <x v="49"/>
    <x v="1"/>
    <n v="2232"/>
    <x v="1"/>
    <n v="0"/>
    <x v="1"/>
    <n v="768"/>
    <x v="1"/>
    <x v="61"/>
    <x v="1"/>
    <n v="0"/>
    <x v="1"/>
    <n v="0"/>
    <x v="1"/>
    <m/>
  </r>
  <r>
    <x v="1"/>
    <x v="1"/>
    <s v="C"/>
    <x v="23"/>
    <x v="1"/>
    <n v="1584"/>
    <x v="1"/>
    <n v="0"/>
    <x v="1"/>
    <n v="864"/>
    <x v="1"/>
    <x v="14"/>
    <x v="1"/>
    <n v="0"/>
    <x v="1"/>
    <n v="0"/>
    <x v="1"/>
    <m/>
  </r>
  <r>
    <x v="1"/>
    <x v="133"/>
    <s v="A"/>
    <x v="38"/>
    <x v="26"/>
    <n v="2016"/>
    <x v="30"/>
    <n v="0"/>
    <x v="13"/>
    <n v="576"/>
    <x v="45"/>
    <x v="87"/>
    <x v="95"/>
    <n v="0"/>
    <x v="15"/>
    <n v="0"/>
    <x v="3"/>
    <n v="112"/>
  </r>
  <r>
    <x v="1"/>
    <x v="1"/>
    <s v="B"/>
    <x v="34"/>
    <x v="1"/>
    <n v="2016"/>
    <x v="1"/>
    <n v="0"/>
    <x v="1"/>
    <n v="576"/>
    <x v="1"/>
    <x v="68"/>
    <x v="1"/>
    <n v="0"/>
    <x v="1"/>
    <n v="0"/>
    <x v="1"/>
    <m/>
  </r>
  <r>
    <x v="1"/>
    <x v="1"/>
    <s v="C"/>
    <x v="43"/>
    <x v="1"/>
    <n v="1968"/>
    <x v="1"/>
    <n v="900"/>
    <x v="1"/>
    <n v="960"/>
    <x v="1"/>
    <x v="61"/>
    <x v="1"/>
    <n v="0"/>
    <x v="1"/>
    <n v="0"/>
    <x v="1"/>
    <m/>
  </r>
  <r>
    <x v="1"/>
    <x v="134"/>
    <s v="A"/>
    <x v="26"/>
    <x v="48"/>
    <n v="3600"/>
    <x v="31"/>
    <n v="450"/>
    <x v="30"/>
    <n v="960"/>
    <x v="46"/>
    <x v="61"/>
    <x v="96"/>
    <n v="0"/>
    <x v="15"/>
    <n v="0"/>
    <x v="3"/>
    <n v="206"/>
  </r>
  <r>
    <x v="1"/>
    <x v="1"/>
    <s v="B"/>
    <x v="37"/>
    <x v="1"/>
    <n v="3360"/>
    <x v="1"/>
    <n v="0"/>
    <x v="1"/>
    <n v="960"/>
    <x v="1"/>
    <x v="61"/>
    <x v="1"/>
    <n v="0"/>
    <x v="1"/>
    <n v="0"/>
    <x v="1"/>
    <m/>
  </r>
  <r>
    <x v="1"/>
    <x v="1"/>
    <s v="C"/>
    <x v="37"/>
    <x v="1"/>
    <n v="3024"/>
    <x v="1"/>
    <n v="0"/>
    <x v="1"/>
    <n v="768"/>
    <x v="1"/>
    <x v="88"/>
    <x v="1"/>
    <n v="0"/>
    <x v="1"/>
    <n v="0"/>
    <x v="1"/>
    <m/>
  </r>
  <r>
    <x v="1"/>
    <x v="135"/>
    <s v="A"/>
    <x v="38"/>
    <x v="48"/>
    <n v="1344"/>
    <x v="32"/>
    <n v="0"/>
    <x v="31"/>
    <n v="960"/>
    <x v="47"/>
    <x v="61"/>
    <x v="96"/>
    <n v="0"/>
    <x v="15"/>
    <n v="0"/>
    <x v="3"/>
    <m/>
  </r>
  <r>
    <x v="1"/>
    <x v="1"/>
    <s v="B"/>
    <x v="19"/>
    <x v="1"/>
    <n v="1680"/>
    <x v="1"/>
    <n v="1900"/>
    <x v="1"/>
    <n v="0"/>
    <x v="1"/>
    <x v="61"/>
    <x v="1"/>
    <n v="0"/>
    <x v="1"/>
    <n v="0"/>
    <x v="1"/>
    <m/>
  </r>
  <r>
    <x v="1"/>
    <x v="1"/>
    <s v="C"/>
    <x v="35"/>
    <x v="1"/>
    <n v="1680"/>
    <x v="1"/>
    <n v="1550"/>
    <x v="1"/>
    <n v="0"/>
    <x v="1"/>
    <x v="88"/>
    <x v="1"/>
    <n v="0"/>
    <x v="1"/>
    <n v="0"/>
    <x v="1"/>
    <m/>
  </r>
  <r>
    <x v="1"/>
    <x v="136"/>
    <s v="A"/>
    <x v="19"/>
    <x v="47"/>
    <n v="520"/>
    <x v="33"/>
    <n v="600"/>
    <x v="7"/>
    <n v="0"/>
    <x v="2"/>
    <x v="61"/>
    <x v="85"/>
    <n v="0"/>
    <x v="15"/>
    <n v="0"/>
    <x v="3"/>
    <n v="87"/>
  </r>
  <r>
    <x v="1"/>
    <x v="1"/>
    <s v="B"/>
    <x v="23"/>
    <x v="1"/>
    <n v="400"/>
    <x v="1"/>
    <n v="0"/>
    <x v="1"/>
    <n v="0"/>
    <x v="1"/>
    <x v="16"/>
    <x v="1"/>
    <n v="0"/>
    <x v="1"/>
    <n v="0"/>
    <x v="1"/>
    <m/>
  </r>
  <r>
    <x v="1"/>
    <x v="1"/>
    <s v="C"/>
    <x v="35"/>
    <x v="1"/>
    <n v="380"/>
    <x v="1"/>
    <n v="0"/>
    <x v="1"/>
    <n v="0"/>
    <x v="1"/>
    <x v="9"/>
    <x v="1"/>
    <n v="0"/>
    <x v="1"/>
    <n v="0"/>
    <x v="1"/>
    <m/>
  </r>
  <r>
    <x v="1"/>
    <x v="137"/>
    <s v="A"/>
    <x v="19"/>
    <x v="31"/>
    <n v="1440"/>
    <x v="34"/>
    <n v="0"/>
    <x v="2"/>
    <n v="960"/>
    <x v="48"/>
    <x v="39"/>
    <x v="11"/>
    <n v="0"/>
    <x v="15"/>
    <n v="0"/>
    <x v="3"/>
    <n v="85"/>
  </r>
  <r>
    <x v="1"/>
    <x v="1"/>
    <s v="B"/>
    <x v="35"/>
    <x v="1"/>
    <n v="1440"/>
    <x v="1"/>
    <n v="0"/>
    <x v="1"/>
    <n v="960"/>
    <x v="1"/>
    <x v="68"/>
    <x v="1"/>
    <n v="0"/>
    <x v="1"/>
    <n v="0"/>
    <x v="1"/>
    <m/>
  </r>
  <r>
    <x v="1"/>
    <x v="1"/>
    <s v="C"/>
    <x v="35"/>
    <x v="1"/>
    <n v="1440"/>
    <x v="1"/>
    <n v="0"/>
    <x v="1"/>
    <n v="1440"/>
    <x v="1"/>
    <x v="68"/>
    <x v="1"/>
    <n v="0"/>
    <x v="1"/>
    <n v="0"/>
    <x v="1"/>
    <m/>
  </r>
  <r>
    <x v="1"/>
    <x v="138"/>
    <s v="A"/>
    <x v="25"/>
    <x v="28"/>
    <n v="2256"/>
    <x v="35"/>
    <n v="0"/>
    <x v="2"/>
    <n v="960"/>
    <x v="49"/>
    <x v="89"/>
    <x v="97"/>
    <n v="0"/>
    <x v="15"/>
    <n v="0"/>
    <x v="3"/>
    <n v="70"/>
  </r>
  <r>
    <x v="1"/>
    <x v="1"/>
    <s v="B"/>
    <x v="23"/>
    <x v="1"/>
    <n v="2400"/>
    <x v="1"/>
    <n v="0"/>
    <x v="1"/>
    <n v="960"/>
    <x v="1"/>
    <x v="86"/>
    <x v="1"/>
    <n v="0"/>
    <x v="1"/>
    <n v="0"/>
    <x v="1"/>
    <m/>
  </r>
  <r>
    <x v="1"/>
    <x v="1"/>
    <s v="C"/>
    <x v="25"/>
    <x v="1"/>
    <n v="1446"/>
    <x v="1"/>
    <n v="0"/>
    <x v="1"/>
    <n v="960"/>
    <x v="1"/>
    <x v="61"/>
    <x v="1"/>
    <n v="0"/>
    <x v="1"/>
    <n v="0"/>
    <x v="1"/>
    <m/>
  </r>
  <r>
    <x v="1"/>
    <x v="139"/>
    <s v="A"/>
    <x v="25"/>
    <x v="28"/>
    <n v="2760"/>
    <x v="36"/>
    <n v="0"/>
    <x v="32"/>
    <n v="960"/>
    <x v="50"/>
    <x v="61"/>
    <x v="98"/>
    <n v="0"/>
    <x v="15"/>
    <n v="0"/>
    <x v="3"/>
    <n v="77"/>
  </r>
  <r>
    <x v="1"/>
    <x v="1"/>
    <s v="B"/>
    <x v="23"/>
    <x v="1"/>
    <n v="2928"/>
    <x v="1"/>
    <n v="1050"/>
    <x v="1"/>
    <n v="4080"/>
    <x v="1"/>
    <x v="86"/>
    <x v="1"/>
    <n v="0"/>
    <x v="1"/>
    <n v="0"/>
    <x v="1"/>
    <m/>
  </r>
  <r>
    <x v="1"/>
    <x v="1"/>
    <s v="C"/>
    <x v="25"/>
    <x v="1"/>
    <n v="2256"/>
    <x v="1"/>
    <n v="850"/>
    <x v="1"/>
    <n v="0"/>
    <x v="1"/>
    <x v="61"/>
    <x v="1"/>
    <n v="0"/>
    <x v="1"/>
    <n v="0"/>
    <x v="1"/>
    <m/>
  </r>
  <r>
    <x v="1"/>
    <x v="140"/>
    <s v="A"/>
    <x v="23"/>
    <x v="27"/>
    <n v="2280"/>
    <x v="37"/>
    <n v="0"/>
    <x v="2"/>
    <n v="192"/>
    <x v="51"/>
    <x v="61"/>
    <x v="99"/>
    <n v="0"/>
    <x v="15"/>
    <n v="0"/>
    <x v="3"/>
    <n v="80"/>
  </r>
  <r>
    <x v="1"/>
    <x v="1"/>
    <s v="B"/>
    <x v="23"/>
    <x v="1"/>
    <n v="3600"/>
    <x v="1"/>
    <n v="0"/>
    <x v="1"/>
    <n v="960"/>
    <x v="1"/>
    <x v="90"/>
    <x v="1"/>
    <n v="0"/>
    <x v="1"/>
    <n v="0"/>
    <x v="1"/>
    <m/>
  </r>
  <r>
    <x v="1"/>
    <x v="1"/>
    <s v="C"/>
    <x v="23"/>
    <x v="1"/>
    <n v="2160"/>
    <x v="1"/>
    <n v="0"/>
    <x v="1"/>
    <n v="1056"/>
    <x v="1"/>
    <x v="61"/>
    <x v="1"/>
    <n v="0"/>
    <x v="1"/>
    <n v="0"/>
    <x v="1"/>
    <m/>
  </r>
  <r>
    <x v="1"/>
    <x v="141"/>
    <s v="A"/>
    <x v="5"/>
    <x v="75"/>
    <n v="0"/>
    <x v="38"/>
    <n v="0"/>
    <x v="2"/>
    <n v="1824"/>
    <x v="52"/>
    <x v="61"/>
    <x v="100"/>
    <n v="0"/>
    <x v="15"/>
    <n v="0"/>
    <x v="3"/>
    <n v="122"/>
  </r>
  <r>
    <x v="1"/>
    <x v="1"/>
    <s v="B"/>
    <x v="42"/>
    <x v="1"/>
    <n v="2880"/>
    <x v="1"/>
    <n v="0"/>
    <x v="1"/>
    <n v="18240"/>
    <x v="1"/>
    <x v="12"/>
    <x v="1"/>
    <n v="0"/>
    <x v="1"/>
    <n v="0"/>
    <x v="1"/>
    <m/>
  </r>
  <r>
    <x v="1"/>
    <x v="1"/>
    <s v="C"/>
    <x v="42"/>
    <x v="1"/>
    <n v="3264"/>
    <x v="1"/>
    <n v="0"/>
    <x v="1"/>
    <n v="960"/>
    <x v="1"/>
    <x v="17"/>
    <x v="1"/>
    <n v="0"/>
    <x v="1"/>
    <n v="0"/>
    <x v="1"/>
    <m/>
  </r>
  <r>
    <x v="1"/>
    <x v="142"/>
    <s v="A"/>
    <x v="42"/>
    <x v="62"/>
    <n v="4700"/>
    <x v="39"/>
    <n v="0"/>
    <x v="2"/>
    <n v="384"/>
    <x v="53"/>
    <x v="14"/>
    <x v="101"/>
    <n v="0"/>
    <x v="15"/>
    <n v="0"/>
    <x v="3"/>
    <m/>
  </r>
  <r>
    <x v="1"/>
    <x v="1"/>
    <s v="B"/>
    <x v="42"/>
    <x v="1"/>
    <n v="4560"/>
    <x v="1"/>
    <n v="0"/>
    <x v="1"/>
    <n v="960"/>
    <x v="1"/>
    <x v="17"/>
    <x v="1"/>
    <n v="0"/>
    <x v="1"/>
    <n v="0"/>
    <x v="1"/>
    <m/>
  </r>
  <r>
    <x v="1"/>
    <x v="1"/>
    <s v="C"/>
    <x v="42"/>
    <x v="1"/>
    <n v="3360"/>
    <x v="1"/>
    <n v="0"/>
    <x v="1"/>
    <n v="960"/>
    <x v="1"/>
    <x v="17"/>
    <x v="1"/>
    <n v="0"/>
    <x v="1"/>
    <n v="0"/>
    <x v="1"/>
    <m/>
  </r>
  <r>
    <x v="1"/>
    <x v="143"/>
    <s v="A"/>
    <x v="42"/>
    <x v="62"/>
    <n v="3336"/>
    <x v="40"/>
    <n v="0"/>
    <x v="2"/>
    <n v="960"/>
    <x v="54"/>
    <x v="91"/>
    <x v="102"/>
    <n v="0"/>
    <x v="15"/>
    <n v="0"/>
    <x v="3"/>
    <n v="85"/>
  </r>
  <r>
    <x v="1"/>
    <x v="1"/>
    <s v="B"/>
    <x v="42"/>
    <x v="1"/>
    <n v="2592"/>
    <x v="1"/>
    <n v="0"/>
    <x v="1"/>
    <n v="960"/>
    <x v="1"/>
    <x v="16"/>
    <x v="1"/>
    <n v="0"/>
    <x v="1"/>
    <n v="0"/>
    <x v="1"/>
    <m/>
  </r>
  <r>
    <x v="1"/>
    <x v="1"/>
    <s v="C"/>
    <x v="42"/>
    <x v="1"/>
    <n v="2832"/>
    <x v="1"/>
    <n v="0"/>
    <x v="1"/>
    <n v="864"/>
    <x v="1"/>
    <x v="16"/>
    <x v="1"/>
    <n v="0"/>
    <x v="1"/>
    <n v="0"/>
    <x v="1"/>
    <m/>
  </r>
  <r>
    <x v="1"/>
    <x v="144"/>
    <s v="A"/>
    <x v="24"/>
    <x v="76"/>
    <n v="1272"/>
    <x v="41"/>
    <n v="600"/>
    <x v="7"/>
    <n v="960"/>
    <x v="46"/>
    <x v="92"/>
    <x v="100"/>
    <n v="0"/>
    <x v="15"/>
    <n v="0"/>
    <x v="3"/>
    <n v="81"/>
  </r>
  <r>
    <x v="1"/>
    <x v="1"/>
    <s v="B"/>
    <x v="42"/>
    <x v="1"/>
    <n v="2352"/>
    <x v="1"/>
    <n v="0"/>
    <x v="1"/>
    <n v="864"/>
    <x v="1"/>
    <x v="17"/>
    <x v="1"/>
    <n v="0"/>
    <x v="1"/>
    <n v="0"/>
    <x v="1"/>
    <m/>
  </r>
  <r>
    <x v="1"/>
    <x v="1"/>
    <s v="C"/>
    <x v="42"/>
    <x v="1"/>
    <n v="3172"/>
    <x v="1"/>
    <n v="0"/>
    <x v="1"/>
    <n v="864"/>
    <x v="1"/>
    <x v="17"/>
    <x v="1"/>
    <n v="0"/>
    <x v="1"/>
    <n v="0"/>
    <x v="1"/>
    <m/>
  </r>
  <r>
    <x v="1"/>
    <x v="145"/>
    <s v="A"/>
    <x v="42"/>
    <x v="62"/>
    <n v="2544"/>
    <x v="42"/>
    <n v="0"/>
    <x v="2"/>
    <n v="960"/>
    <x v="49"/>
    <x v="17"/>
    <x v="103"/>
    <n v="0"/>
    <x v="15"/>
    <n v="0"/>
    <x v="3"/>
    <n v="60"/>
  </r>
  <r>
    <x v="1"/>
    <x v="1"/>
    <s v="B"/>
    <x v="42"/>
    <x v="1"/>
    <n v="2496"/>
    <x v="1"/>
    <n v="0"/>
    <x v="1"/>
    <n v="960"/>
    <x v="1"/>
    <x v="17"/>
    <x v="1"/>
    <n v="0"/>
    <x v="1"/>
    <n v="0"/>
    <x v="1"/>
    <m/>
  </r>
  <r>
    <x v="1"/>
    <x v="1"/>
    <s v="C"/>
    <x v="42"/>
    <x v="1"/>
    <n v="2496"/>
    <x v="1"/>
    <n v="0"/>
    <x v="1"/>
    <n v="960"/>
    <x v="1"/>
    <x v="17"/>
    <x v="1"/>
    <n v="0"/>
    <x v="1"/>
    <n v="0"/>
    <x v="1"/>
    <m/>
  </r>
  <r>
    <x v="1"/>
    <x v="146"/>
    <s v="A"/>
    <x v="42"/>
    <x v="62"/>
    <n v="3360"/>
    <x v="43"/>
    <n v="0"/>
    <x v="2"/>
    <n v="960"/>
    <x v="55"/>
    <x v="17"/>
    <x v="92"/>
    <n v="0"/>
    <x v="15"/>
    <n v="0"/>
    <x v="3"/>
    <n v="48"/>
  </r>
  <r>
    <x v="1"/>
    <x v="1"/>
    <s v="B"/>
    <x v="42"/>
    <x v="1"/>
    <n v="2160"/>
    <x v="1"/>
    <n v="0"/>
    <x v="1"/>
    <n v="1682"/>
    <x v="1"/>
    <x v="61"/>
    <x v="1"/>
    <n v="0"/>
    <x v="1"/>
    <n v="0"/>
    <x v="1"/>
    <m/>
  </r>
  <r>
    <x v="1"/>
    <x v="1"/>
    <s v="C"/>
    <x v="42"/>
    <x v="1"/>
    <n v="1152"/>
    <x v="1"/>
    <n v="0"/>
    <x v="1"/>
    <n v="1728"/>
    <x v="1"/>
    <x v="61"/>
    <x v="1"/>
    <n v="0"/>
    <x v="1"/>
    <n v="0"/>
    <x v="1"/>
    <m/>
  </r>
  <r>
    <x v="6"/>
    <x v="147"/>
    <s v="A"/>
    <x v="42"/>
    <x v="62"/>
    <n v="2784"/>
    <x v="44"/>
    <n v="0"/>
    <x v="2"/>
    <n v="1344"/>
    <x v="56"/>
    <x v="18"/>
    <x v="104"/>
    <n v="0"/>
    <x v="15"/>
    <n v="0"/>
    <x v="27"/>
    <n v="41.4"/>
  </r>
  <r>
    <x v="1"/>
    <x v="1"/>
    <s v="B"/>
    <x v="42"/>
    <x v="1"/>
    <n v="2688"/>
    <x v="1"/>
    <n v="0"/>
    <x v="1"/>
    <n v="1248"/>
    <x v="1"/>
    <x v="86"/>
    <x v="1"/>
    <n v="0"/>
    <x v="1"/>
    <n v="0"/>
    <x v="1"/>
    <m/>
  </r>
  <r>
    <x v="1"/>
    <x v="1"/>
    <s v="C"/>
    <x v="42"/>
    <x v="1"/>
    <n v="2448"/>
    <x v="1"/>
    <n v="0"/>
    <x v="1"/>
    <n v="1152"/>
    <x v="1"/>
    <x v="93"/>
    <x v="1"/>
    <n v="0"/>
    <x v="1"/>
    <n v="120"/>
    <x v="1"/>
    <m/>
  </r>
  <r>
    <x v="1"/>
    <x v="148"/>
    <s v="A"/>
    <x v="42"/>
    <x v="62"/>
    <n v="3648"/>
    <x v="45"/>
    <n v="0"/>
    <x v="2"/>
    <n v="854"/>
    <x v="57"/>
    <x v="94"/>
    <x v="105"/>
    <n v="0"/>
    <x v="15"/>
    <n v="0"/>
    <x v="3"/>
    <n v="40"/>
  </r>
  <r>
    <x v="1"/>
    <x v="1"/>
    <s v="B"/>
    <x v="42"/>
    <x v="1"/>
    <n v="2928"/>
    <x v="1"/>
    <n v="0"/>
    <x v="1"/>
    <n v="816"/>
    <x v="1"/>
    <x v="61"/>
    <x v="1"/>
    <n v="0"/>
    <x v="1"/>
    <n v="0"/>
    <x v="1"/>
    <m/>
  </r>
  <r>
    <x v="1"/>
    <x v="1"/>
    <s v="C"/>
    <x v="42"/>
    <x v="1"/>
    <n v="2928"/>
    <x v="1"/>
    <n v="0"/>
    <x v="1"/>
    <n v="816"/>
    <x v="1"/>
    <x v="18"/>
    <x v="1"/>
    <n v="0"/>
    <x v="1"/>
    <n v="0"/>
    <x v="1"/>
    <m/>
  </r>
  <r>
    <x v="1"/>
    <x v="149"/>
    <s v="A"/>
    <x v="42"/>
    <x v="62"/>
    <n v="4536"/>
    <x v="46"/>
    <n v="0"/>
    <x v="33"/>
    <n v="1440"/>
    <x v="58"/>
    <x v="95"/>
    <x v="106"/>
    <n v="0"/>
    <x v="15"/>
    <n v="140"/>
    <x v="8"/>
    <m/>
  </r>
  <r>
    <x v="1"/>
    <x v="1"/>
    <s v="B"/>
    <x v="42"/>
    <x v="1"/>
    <n v="2688"/>
    <x v="1"/>
    <n v="0"/>
    <x v="1"/>
    <n v="816"/>
    <x v="1"/>
    <x v="86"/>
    <x v="1"/>
    <n v="0"/>
    <x v="1"/>
    <n v="0"/>
    <x v="1"/>
    <m/>
  </r>
  <r>
    <x v="1"/>
    <x v="1"/>
    <s v="C"/>
    <x v="42"/>
    <x v="1"/>
    <n v="2832"/>
    <x v="1"/>
    <n v="500"/>
    <x v="1"/>
    <n v="384"/>
    <x v="1"/>
    <x v="86"/>
    <x v="1"/>
    <n v="0"/>
    <x v="1"/>
    <n v="0"/>
    <x v="1"/>
    <m/>
  </r>
  <r>
    <x v="1"/>
    <x v="150"/>
    <s v="A"/>
    <x v="42"/>
    <x v="62"/>
    <n v="2112"/>
    <x v="47"/>
    <n v="0"/>
    <x v="2"/>
    <n v="816"/>
    <x v="59"/>
    <x v="96"/>
    <x v="107"/>
    <n v="0"/>
    <x v="15"/>
    <n v="0"/>
    <x v="3"/>
    <n v="60"/>
  </r>
  <r>
    <x v="1"/>
    <x v="1"/>
    <s v="B"/>
    <x v="42"/>
    <x v="1"/>
    <n v="1642"/>
    <x v="1"/>
    <n v="0"/>
    <x v="1"/>
    <n v="960"/>
    <x v="1"/>
    <x v="97"/>
    <x v="1"/>
    <n v="0"/>
    <x v="1"/>
    <n v="0"/>
    <x v="1"/>
    <m/>
  </r>
  <r>
    <x v="1"/>
    <x v="1"/>
    <s v="C"/>
    <x v="42"/>
    <x v="1"/>
    <n v="2064"/>
    <x v="1"/>
    <n v="0"/>
    <x v="1"/>
    <n v="960"/>
    <x v="1"/>
    <x v="18"/>
    <x v="1"/>
    <n v="0"/>
    <x v="1"/>
    <n v="0"/>
    <x v="1"/>
    <m/>
  </r>
  <r>
    <x v="1"/>
    <x v="151"/>
    <s v="A"/>
    <x v="42"/>
    <x v="62"/>
    <n v="1872"/>
    <x v="48"/>
    <n v="0"/>
    <x v="2"/>
    <n v="960"/>
    <x v="54"/>
    <x v="68"/>
    <x v="108"/>
    <n v="0"/>
    <x v="15"/>
    <n v="0"/>
    <x v="28"/>
    <n v="28"/>
  </r>
  <r>
    <x v="1"/>
    <x v="1"/>
    <s v="B"/>
    <x v="42"/>
    <x v="1"/>
    <n v="1584"/>
    <x v="1"/>
    <n v="0"/>
    <x v="1"/>
    <n v="864"/>
    <x v="1"/>
    <x v="86"/>
    <x v="1"/>
    <n v="0"/>
    <x v="1"/>
    <n v="0"/>
    <x v="1"/>
    <m/>
  </r>
  <r>
    <x v="1"/>
    <x v="1"/>
    <s v="C"/>
    <x v="42"/>
    <x v="1"/>
    <n v="1968"/>
    <x v="1"/>
    <n v="0"/>
    <x v="1"/>
    <n v="960"/>
    <x v="1"/>
    <x v="98"/>
    <x v="1"/>
    <n v="0"/>
    <x v="1"/>
    <n v="770"/>
    <x v="1"/>
    <m/>
  </r>
  <r>
    <x v="1"/>
    <x v="152"/>
    <s v="A"/>
    <x v="42"/>
    <x v="62"/>
    <n v="1968"/>
    <x v="49"/>
    <n v="0"/>
    <x v="2"/>
    <n v="960"/>
    <x v="46"/>
    <x v="99"/>
    <x v="104"/>
    <n v="0"/>
    <x v="15"/>
    <n v="0"/>
    <x v="29"/>
    <n v="41"/>
  </r>
  <r>
    <x v="1"/>
    <x v="1"/>
    <s v="B"/>
    <x v="42"/>
    <x v="1"/>
    <n v="1536"/>
    <x v="1"/>
    <n v="0"/>
    <x v="1"/>
    <n v="864"/>
    <x v="1"/>
    <x v="86"/>
    <x v="1"/>
    <n v="0"/>
    <x v="1"/>
    <n v="0"/>
    <x v="1"/>
    <m/>
  </r>
  <r>
    <x v="1"/>
    <x v="1"/>
    <s v="C"/>
    <x v="42"/>
    <x v="1"/>
    <n v="1488"/>
    <x v="1"/>
    <n v="0"/>
    <x v="1"/>
    <n v="864"/>
    <x v="1"/>
    <x v="100"/>
    <x v="1"/>
    <n v="0"/>
    <x v="1"/>
    <n v="180"/>
    <x v="1"/>
    <m/>
  </r>
  <r>
    <x v="1"/>
    <x v="153"/>
    <s v="A"/>
    <x v="42"/>
    <x v="62"/>
    <n v="1632"/>
    <x v="48"/>
    <n v="0"/>
    <x v="2"/>
    <n v="960"/>
    <x v="46"/>
    <x v="18"/>
    <x v="109"/>
    <n v="0"/>
    <x v="15"/>
    <n v="0"/>
    <x v="3"/>
    <n v="33"/>
  </r>
  <r>
    <x v="1"/>
    <x v="1"/>
    <s v="B"/>
    <x v="42"/>
    <x v="1"/>
    <n v="1488"/>
    <x v="1"/>
    <n v="0"/>
    <x v="1"/>
    <n v="864"/>
    <x v="1"/>
    <x v="86"/>
    <x v="1"/>
    <n v="0"/>
    <x v="1"/>
    <n v="0"/>
    <x v="1"/>
    <m/>
  </r>
  <r>
    <x v="1"/>
    <x v="1"/>
    <s v="C"/>
    <x v="42"/>
    <x v="1"/>
    <n v="2304"/>
    <x v="1"/>
    <n v="0"/>
    <x v="1"/>
    <n v="864"/>
    <x v="1"/>
    <x v="91"/>
    <x v="1"/>
    <n v="0"/>
    <x v="1"/>
    <n v="0"/>
    <x v="1"/>
    <m/>
  </r>
  <r>
    <x v="1"/>
    <x v="154"/>
    <s v="A"/>
    <x v="42"/>
    <x v="77"/>
    <n v="2496"/>
    <x v="50"/>
    <n v="0"/>
    <x v="2"/>
    <n v="960"/>
    <x v="60"/>
    <x v="86"/>
    <x v="110"/>
    <n v="0"/>
    <x v="15"/>
    <n v="0"/>
    <x v="3"/>
    <n v="138"/>
  </r>
  <r>
    <x v="1"/>
    <x v="1"/>
    <s v="B"/>
    <x v="42"/>
    <x v="1"/>
    <n v="2688"/>
    <x v="1"/>
    <n v="0"/>
    <x v="1"/>
    <n v="720"/>
    <x v="1"/>
    <x v="86"/>
    <x v="1"/>
    <n v="0"/>
    <x v="1"/>
    <n v="0"/>
    <x v="1"/>
    <m/>
  </r>
  <r>
    <x v="1"/>
    <x v="1"/>
    <s v="C"/>
    <x v="50"/>
    <x v="1"/>
    <n v="3408"/>
    <x v="1"/>
    <n v="0"/>
    <x v="1"/>
    <n v="420"/>
    <x v="1"/>
    <x v="91"/>
    <x v="1"/>
    <n v="0"/>
    <x v="1"/>
    <n v="0"/>
    <x v="1"/>
    <m/>
  </r>
  <r>
    <x v="1"/>
    <x v="155"/>
    <s v="A"/>
    <x v="43"/>
    <x v="78"/>
    <n v="624"/>
    <x v="51"/>
    <n v="0"/>
    <x v="2"/>
    <n v="1634"/>
    <x v="61"/>
    <x v="61"/>
    <x v="94"/>
    <n v="0"/>
    <x v="15"/>
    <n v="0"/>
    <x v="3"/>
    <n v="96"/>
  </r>
  <r>
    <x v="1"/>
    <x v="1"/>
    <s v="B"/>
    <x v="26"/>
    <x v="1"/>
    <n v="2976"/>
    <x v="1"/>
    <n v="0"/>
    <x v="1"/>
    <n v="720"/>
    <x v="1"/>
    <x v="86"/>
    <x v="1"/>
    <n v="0"/>
    <x v="1"/>
    <n v="0"/>
    <x v="1"/>
    <m/>
  </r>
  <r>
    <x v="1"/>
    <x v="1"/>
    <s v="C"/>
    <x v="39"/>
    <x v="1"/>
    <n v="3120"/>
    <x v="1"/>
    <n v="0"/>
    <x v="1"/>
    <n v="420"/>
    <x v="1"/>
    <x v="91"/>
    <x v="1"/>
    <n v="0"/>
    <x v="1"/>
    <n v="0"/>
    <x v="1"/>
    <m/>
  </r>
  <r>
    <x v="1"/>
    <x v="156"/>
    <s v="A"/>
    <x v="42"/>
    <x v="79"/>
    <n v="1152"/>
    <x v="52"/>
    <n v="0"/>
    <x v="33"/>
    <n v="960"/>
    <x v="62"/>
    <x v="86"/>
    <x v="110"/>
    <n v="0"/>
    <x v="15"/>
    <n v="0"/>
    <x v="3"/>
    <m/>
  </r>
  <r>
    <x v="1"/>
    <x v="1"/>
    <s v="B"/>
    <x v="42"/>
    <x v="1"/>
    <n v="3120"/>
    <x v="1"/>
    <n v="0"/>
    <x v="1"/>
    <n v="864"/>
    <x v="1"/>
    <x v="86"/>
    <x v="1"/>
    <n v="0"/>
    <x v="1"/>
    <n v="0"/>
    <x v="1"/>
    <m/>
  </r>
  <r>
    <x v="1"/>
    <x v="1"/>
    <s v="C"/>
    <x v="48"/>
    <x v="1"/>
    <n v="2112"/>
    <x v="1"/>
    <n v="500"/>
    <x v="1"/>
    <n v="318"/>
    <x v="1"/>
    <x v="91"/>
    <x v="1"/>
    <n v="0"/>
    <x v="1"/>
    <n v="0"/>
    <x v="1"/>
    <m/>
  </r>
  <r>
    <x v="1"/>
    <x v="157"/>
    <s v="A"/>
    <x v="42"/>
    <x v="62"/>
    <n v="912"/>
    <x v="53"/>
    <n v="0"/>
    <x v="2"/>
    <n v="1584"/>
    <x v="63"/>
    <x v="86"/>
    <x v="98"/>
    <n v="0"/>
    <x v="15"/>
    <n v="0"/>
    <x v="3"/>
    <n v="101"/>
  </r>
  <r>
    <x v="1"/>
    <x v="1"/>
    <s v="B"/>
    <x v="42"/>
    <x v="1"/>
    <n v="1874"/>
    <x v="1"/>
    <n v="0"/>
    <x v="1"/>
    <n v="1248"/>
    <x v="1"/>
    <x v="61"/>
    <x v="1"/>
    <n v="0"/>
    <x v="1"/>
    <n v="0"/>
    <x v="1"/>
    <m/>
  </r>
  <r>
    <x v="1"/>
    <x v="1"/>
    <s v="C"/>
    <x v="42"/>
    <x v="1"/>
    <n v="672"/>
    <x v="1"/>
    <n v="0"/>
    <x v="1"/>
    <n v="2160"/>
    <x v="1"/>
    <x v="61"/>
    <x v="1"/>
    <n v="0"/>
    <x v="1"/>
    <n v="0"/>
    <x v="1"/>
    <m/>
  </r>
  <r>
    <x v="1"/>
    <x v="158"/>
    <s v="A"/>
    <x v="42"/>
    <x v="57"/>
    <n v="0"/>
    <x v="5"/>
    <n v="0"/>
    <x v="2"/>
    <n v="2544"/>
    <x v="64"/>
    <x v="86"/>
    <x v="111"/>
    <n v="0"/>
    <x v="15"/>
    <n v="0"/>
    <x v="3"/>
    <m/>
  </r>
  <r>
    <x v="1"/>
    <x v="1"/>
    <s v="B"/>
    <x v="25"/>
    <x v="1"/>
    <n v="240"/>
    <x v="1"/>
    <n v="0"/>
    <x v="1"/>
    <n v="1680"/>
    <x v="1"/>
    <x v="61"/>
    <x v="1"/>
    <n v="0"/>
    <x v="1"/>
    <n v="0"/>
    <x v="1"/>
    <m/>
  </r>
  <r>
    <x v="1"/>
    <x v="1"/>
    <s v="C"/>
    <x v="26"/>
    <x v="1"/>
    <n v="240"/>
    <x v="1"/>
    <n v="0"/>
    <x v="1"/>
    <n v="1680"/>
    <x v="1"/>
    <x v="86"/>
    <x v="1"/>
    <n v="0"/>
    <x v="1"/>
    <n v="0"/>
    <x v="1"/>
    <m/>
  </r>
  <r>
    <x v="1"/>
    <x v="159"/>
    <s v="A"/>
    <x v="26"/>
    <x v="80"/>
    <n v="1104"/>
    <x v="54"/>
    <n v="0"/>
    <x v="2"/>
    <n v="912"/>
    <x v="65"/>
    <x v="86"/>
    <x v="93"/>
    <n v="0"/>
    <x v="15"/>
    <n v="0"/>
    <x v="3"/>
    <n v="43"/>
  </r>
  <r>
    <x v="1"/>
    <x v="1"/>
    <s v="B"/>
    <x v="26"/>
    <x v="1"/>
    <n v="960"/>
    <x v="1"/>
    <n v="0"/>
    <x v="1"/>
    <n v="960"/>
    <x v="1"/>
    <x v="86"/>
    <x v="1"/>
    <n v="0"/>
    <x v="1"/>
    <n v="0"/>
    <x v="1"/>
    <m/>
  </r>
  <r>
    <x v="1"/>
    <x v="1"/>
    <s v="C"/>
    <x v="27"/>
    <x v="1"/>
    <n v="960"/>
    <x v="1"/>
    <n v="0"/>
    <x v="1"/>
    <n v="960"/>
    <x v="1"/>
    <x v="86"/>
    <x v="1"/>
    <n v="0"/>
    <x v="1"/>
    <n v="0"/>
    <x v="1"/>
    <m/>
  </r>
  <r>
    <x v="1"/>
    <x v="160"/>
    <s v="A"/>
    <x v="26"/>
    <x v="75"/>
    <n v="1104"/>
    <x v="43"/>
    <n v="0"/>
    <x v="2"/>
    <n v="960"/>
    <x v="47"/>
    <x v="86"/>
    <x v="93"/>
    <n v="0"/>
    <x v="15"/>
    <n v="0"/>
    <x v="3"/>
    <n v="33"/>
  </r>
  <r>
    <x v="1"/>
    <x v="1"/>
    <s v="B"/>
    <x v="25"/>
    <x v="1"/>
    <n v="2784"/>
    <x v="1"/>
    <n v="0"/>
    <x v="1"/>
    <n v="0"/>
    <x v="1"/>
    <x v="86"/>
    <x v="1"/>
    <n v="0"/>
    <x v="1"/>
    <n v="0"/>
    <x v="1"/>
    <m/>
  </r>
  <r>
    <x v="1"/>
    <x v="1"/>
    <s v="C"/>
    <x v="51"/>
    <x v="1"/>
    <n v="2784"/>
    <x v="1"/>
    <n v="0"/>
    <x v="1"/>
    <n v="0"/>
    <x v="1"/>
    <x v="86"/>
    <x v="1"/>
    <n v="0"/>
    <x v="1"/>
    <n v="0"/>
    <x v="1"/>
    <m/>
  </r>
  <r>
    <x v="1"/>
    <x v="161"/>
    <s v="A"/>
    <x v="38"/>
    <x v="68"/>
    <n v="2688"/>
    <x v="55"/>
    <n v="0"/>
    <x v="2"/>
    <n v="0"/>
    <x v="2"/>
    <x v="86"/>
    <x v="111"/>
    <n v="0"/>
    <x v="15"/>
    <n v="0"/>
    <x v="3"/>
    <n v="32"/>
  </r>
  <r>
    <x v="1"/>
    <x v="1"/>
    <s v="B"/>
    <x v="25"/>
    <x v="1"/>
    <n v="2736"/>
    <x v="1"/>
    <n v="0"/>
    <x v="1"/>
    <n v="0"/>
    <x v="1"/>
    <x v="61"/>
    <x v="1"/>
    <n v="0"/>
    <x v="1"/>
    <n v="0"/>
    <x v="1"/>
    <m/>
  </r>
  <r>
    <x v="1"/>
    <x v="1"/>
    <s v="C"/>
    <x v="51"/>
    <x v="1"/>
    <n v="2736"/>
    <x v="1"/>
    <n v="0"/>
    <x v="1"/>
    <n v="0"/>
    <x v="1"/>
    <x v="86"/>
    <x v="1"/>
    <n v="0"/>
    <x v="1"/>
    <n v="0"/>
    <x v="1"/>
    <m/>
  </r>
  <r>
    <x v="1"/>
    <x v="162"/>
    <s v="A"/>
    <x v="38"/>
    <x v="68"/>
    <n v="1698"/>
    <x v="56"/>
    <n v="0"/>
    <x v="2"/>
    <n v="336"/>
    <x v="66"/>
    <x v="86"/>
    <x v="111"/>
    <n v="0"/>
    <x v="15"/>
    <n v="0"/>
    <x v="3"/>
    <n v="58"/>
  </r>
  <r>
    <x v="1"/>
    <x v="1"/>
    <s v="B"/>
    <x v="25"/>
    <x v="1"/>
    <n v="1632"/>
    <x v="1"/>
    <n v="0"/>
    <x v="1"/>
    <n v="720"/>
    <x v="1"/>
    <x v="61"/>
    <x v="1"/>
    <n v="0"/>
    <x v="1"/>
    <n v="0"/>
    <x v="1"/>
    <m/>
  </r>
  <r>
    <x v="1"/>
    <x v="1"/>
    <s v="C"/>
    <x v="51"/>
    <x v="1"/>
    <n v="1248"/>
    <x v="1"/>
    <n v="0"/>
    <x v="1"/>
    <n v="768"/>
    <x v="1"/>
    <x v="86"/>
    <x v="1"/>
    <n v="0"/>
    <x v="1"/>
    <n v="0"/>
    <x v="1"/>
    <m/>
  </r>
  <r>
    <x v="1"/>
    <x v="163"/>
    <s v="A"/>
    <x v="38"/>
    <x v="68"/>
    <n v="1104"/>
    <x v="57"/>
    <n v="0"/>
    <x v="2"/>
    <n v="760"/>
    <x v="67"/>
    <x v="86"/>
    <x v="111"/>
    <n v="0"/>
    <x v="15"/>
    <n v="0"/>
    <x v="3"/>
    <m/>
  </r>
  <r>
    <x v="1"/>
    <x v="1"/>
    <s v="B"/>
    <x v="25"/>
    <x v="1"/>
    <n v="1344"/>
    <x v="1"/>
    <n v="0"/>
    <x v="1"/>
    <n v="816"/>
    <x v="1"/>
    <x v="61"/>
    <x v="1"/>
    <n v="0"/>
    <x v="1"/>
    <n v="0"/>
    <x v="1"/>
    <m/>
  </r>
  <r>
    <x v="1"/>
    <x v="1"/>
    <s v="C"/>
    <x v="51"/>
    <x v="1"/>
    <n v="1248"/>
    <x v="1"/>
    <n v="0"/>
    <x v="1"/>
    <n v="864"/>
    <x v="1"/>
    <x v="86"/>
    <x v="1"/>
    <n v="0"/>
    <x v="1"/>
    <n v="0"/>
    <x v="1"/>
    <m/>
  </r>
  <r>
    <x v="1"/>
    <x v="164"/>
    <s v="A"/>
    <x v="25"/>
    <x v="75"/>
    <n v="1776"/>
    <x v="58"/>
    <n v="0"/>
    <x v="2"/>
    <n v="1056"/>
    <x v="46"/>
    <x v="61"/>
    <x v="111"/>
    <n v="0"/>
    <x v="15"/>
    <n v="0"/>
    <x v="3"/>
    <m/>
  </r>
  <r>
    <x v="1"/>
    <x v="1"/>
    <s v="B"/>
    <x v="51"/>
    <x v="1"/>
    <n v="1920"/>
    <x v="1"/>
    <n v="0"/>
    <x v="1"/>
    <n v="864"/>
    <x v="1"/>
    <x v="86"/>
    <x v="1"/>
    <n v="0"/>
    <x v="1"/>
    <n v="0"/>
    <x v="1"/>
    <m/>
  </r>
  <r>
    <x v="1"/>
    <x v="1"/>
    <s v="C"/>
    <x v="26"/>
    <x v="1"/>
    <n v="1776"/>
    <x v="1"/>
    <n v="0"/>
    <x v="1"/>
    <n v="768"/>
    <x v="1"/>
    <x v="86"/>
    <x v="1"/>
    <n v="0"/>
    <x v="1"/>
    <n v="0"/>
    <x v="1"/>
    <m/>
  </r>
  <r>
    <x v="1"/>
    <x v="165"/>
    <s v="A"/>
    <x v="51"/>
    <x v="81"/>
    <n v="4944"/>
    <x v="59"/>
    <n v="0"/>
    <x v="2"/>
    <n v="0"/>
    <x v="2"/>
    <x v="101"/>
    <x v="112"/>
    <n v="0"/>
    <x v="15"/>
    <n v="0"/>
    <x v="3"/>
    <n v="70"/>
  </r>
  <r>
    <x v="1"/>
    <x v="1"/>
    <s v="B"/>
    <x v="42"/>
    <x v="1"/>
    <n v="3648"/>
    <x v="1"/>
    <n v="0"/>
    <x v="1"/>
    <n v="0"/>
    <x v="1"/>
    <x v="61"/>
    <x v="1"/>
    <n v="0"/>
    <x v="1"/>
    <n v="0"/>
    <x v="1"/>
    <m/>
  </r>
  <r>
    <x v="1"/>
    <x v="1"/>
    <s v="C"/>
    <x v="26"/>
    <x v="1"/>
    <n v="4000"/>
    <x v="1"/>
    <n v="0"/>
    <x v="1"/>
    <n v="0"/>
    <x v="1"/>
    <x v="86"/>
    <x v="1"/>
    <n v="0"/>
    <x v="1"/>
    <n v="0"/>
    <x v="1"/>
    <m/>
  </r>
  <r>
    <x v="1"/>
    <x v="166"/>
    <s v="A"/>
    <x v="25"/>
    <x v="82"/>
    <n v="4240"/>
    <x v="60"/>
    <n v="0"/>
    <x v="2"/>
    <n v="0"/>
    <x v="2"/>
    <x v="86"/>
    <x v="93"/>
    <n v="0"/>
    <x v="15"/>
    <n v="0"/>
    <x v="3"/>
    <n v="45"/>
  </r>
  <r>
    <x v="1"/>
    <x v="1"/>
    <s v="B"/>
    <x v="50"/>
    <x v="1"/>
    <n v="3072"/>
    <x v="1"/>
    <n v="0"/>
    <x v="1"/>
    <n v="0"/>
    <x v="1"/>
    <x v="86"/>
    <x v="1"/>
    <n v="0"/>
    <x v="1"/>
    <n v="0"/>
    <x v="1"/>
    <m/>
  </r>
  <r>
    <x v="1"/>
    <x v="1"/>
    <s v="C"/>
    <x v="50"/>
    <x v="1"/>
    <n v="3264"/>
    <x v="1"/>
    <n v="0"/>
    <x v="1"/>
    <n v="0"/>
    <x v="1"/>
    <x v="86"/>
    <x v="1"/>
    <n v="0"/>
    <x v="1"/>
    <n v="0"/>
    <x v="1"/>
    <m/>
  </r>
  <r>
    <x v="1"/>
    <x v="167"/>
    <s v="A"/>
    <x v="24"/>
    <x v="83"/>
    <n v="4320"/>
    <x v="61"/>
    <n v="0"/>
    <x v="2"/>
    <n v="0"/>
    <x v="2"/>
    <x v="61"/>
    <x v="98"/>
    <n v="0"/>
    <x v="15"/>
    <n v="0"/>
    <x v="3"/>
    <n v="55"/>
  </r>
  <r>
    <x v="1"/>
    <x v="1"/>
    <s v="B"/>
    <x v="51"/>
    <x v="1"/>
    <n v="3168"/>
    <x v="1"/>
    <n v="0"/>
    <x v="1"/>
    <n v="0"/>
    <x v="1"/>
    <x v="86"/>
    <x v="1"/>
    <n v="0"/>
    <x v="1"/>
    <n v="0"/>
    <x v="1"/>
    <m/>
  </r>
  <r>
    <x v="1"/>
    <x v="1"/>
    <s v="C"/>
    <x v="26"/>
    <x v="1"/>
    <n v="3168"/>
    <x v="1"/>
    <n v="0"/>
    <x v="1"/>
    <n v="0"/>
    <x v="1"/>
    <x v="61"/>
    <x v="1"/>
    <n v="0"/>
    <x v="1"/>
    <n v="0"/>
    <x v="1"/>
    <m/>
  </r>
  <r>
    <x v="1"/>
    <x v="168"/>
    <s v="A"/>
    <x v="25"/>
    <x v="84"/>
    <n v="3984"/>
    <x v="62"/>
    <n v="0"/>
    <x v="2"/>
    <n v="0"/>
    <x v="2"/>
    <x v="61"/>
    <x v="98"/>
    <n v="0"/>
    <x v="15"/>
    <n v="0"/>
    <x v="3"/>
    <n v="60"/>
  </r>
  <r>
    <x v="1"/>
    <x v="1"/>
    <s v="B"/>
    <x v="51"/>
    <x v="1"/>
    <n v="2880"/>
    <x v="1"/>
    <n v="0"/>
    <x v="1"/>
    <n v="0"/>
    <x v="1"/>
    <x v="86"/>
    <x v="1"/>
    <n v="0"/>
    <x v="1"/>
    <n v="0"/>
    <x v="1"/>
    <m/>
  </r>
  <r>
    <x v="1"/>
    <x v="1"/>
    <s v="C"/>
    <x v="51"/>
    <x v="1"/>
    <n v="2928"/>
    <x v="1"/>
    <n v="0"/>
    <x v="1"/>
    <n v="0"/>
    <x v="1"/>
    <x v="61"/>
    <x v="1"/>
    <n v="0"/>
    <x v="1"/>
    <n v="0"/>
    <x v="1"/>
    <m/>
  </r>
  <r>
    <x v="1"/>
    <x v="169"/>
    <s v="A"/>
    <x v="25"/>
    <x v="83"/>
    <n v="3648"/>
    <x v="63"/>
    <n v="0"/>
    <x v="2"/>
    <n v="0"/>
    <x v="2"/>
    <x v="86"/>
    <x v="93"/>
    <n v="0"/>
    <x v="15"/>
    <n v="0"/>
    <x v="3"/>
    <n v="60"/>
  </r>
  <r>
    <x v="1"/>
    <x v="1"/>
    <s v="B"/>
    <x v="27"/>
    <x v="1"/>
    <n v="2736"/>
    <x v="1"/>
    <n v="0"/>
    <x v="1"/>
    <n v="0"/>
    <x v="1"/>
    <x v="86"/>
    <x v="1"/>
    <n v="0"/>
    <x v="1"/>
    <n v="0"/>
    <x v="1"/>
    <m/>
  </r>
  <r>
    <x v="1"/>
    <x v="1"/>
    <s v="C"/>
    <x v="27"/>
    <x v="1"/>
    <n v="2976"/>
    <x v="1"/>
    <n v="0"/>
    <x v="1"/>
    <n v="0"/>
    <x v="1"/>
    <x v="86"/>
    <x v="1"/>
    <n v="0"/>
    <x v="1"/>
    <n v="0"/>
    <x v="1"/>
    <m/>
  </r>
  <r>
    <x v="1"/>
    <x v="170"/>
    <s v="A"/>
    <x v="25"/>
    <x v="73"/>
    <n v="1776"/>
    <x v="64"/>
    <n v="0"/>
    <x v="2"/>
    <n v="1008"/>
    <x v="68"/>
    <x v="61"/>
    <x v="111"/>
    <n v="0"/>
    <x v="15"/>
    <n v="0"/>
    <x v="3"/>
    <m/>
  </r>
  <r>
    <x v="1"/>
    <x v="1"/>
    <s v="B"/>
    <x v="51"/>
    <x v="1"/>
    <n v="1440"/>
    <x v="1"/>
    <n v="0"/>
    <x v="1"/>
    <n v="1008"/>
    <x v="1"/>
    <x v="86"/>
    <x v="1"/>
    <n v="0"/>
    <x v="1"/>
    <n v="0"/>
    <x v="1"/>
    <m/>
  </r>
  <r>
    <x v="1"/>
    <x v="1"/>
    <s v="C"/>
    <x v="27"/>
    <x v="1"/>
    <n v="1440"/>
    <x v="1"/>
    <n v="0"/>
    <x v="1"/>
    <n v="1008"/>
    <x v="1"/>
    <x v="86"/>
    <x v="1"/>
    <n v="0"/>
    <x v="1"/>
    <n v="0"/>
    <x v="1"/>
    <m/>
  </r>
  <r>
    <x v="1"/>
    <x v="171"/>
    <s v="A"/>
    <x v="27"/>
    <x v="64"/>
    <n v="1344"/>
    <x v="65"/>
    <n v="0"/>
    <x v="2"/>
    <n v="1440"/>
    <x v="69"/>
    <x v="86"/>
    <x v="113"/>
    <n v="0"/>
    <x v="15"/>
    <n v="0"/>
    <x v="3"/>
    <n v="40"/>
  </r>
  <r>
    <x v="1"/>
    <x v="1"/>
    <s v="B"/>
    <x v="27"/>
    <x v="1"/>
    <n v="1344"/>
    <x v="1"/>
    <n v="0"/>
    <x v="1"/>
    <n v="1104"/>
    <x v="1"/>
    <x v="102"/>
    <x v="1"/>
    <n v="0"/>
    <x v="1"/>
    <n v="0"/>
    <x v="1"/>
    <m/>
  </r>
  <r>
    <x v="1"/>
    <x v="1"/>
    <s v="C"/>
    <x v="39"/>
    <x v="1"/>
    <n v="1536"/>
    <x v="1"/>
    <n v="0"/>
    <x v="1"/>
    <n v="1056"/>
    <x v="1"/>
    <x v="14"/>
    <x v="1"/>
    <n v="0"/>
    <x v="1"/>
    <n v="0"/>
    <x v="1"/>
    <m/>
  </r>
  <r>
    <x v="1"/>
    <x v="172"/>
    <s v="A"/>
    <x v="27"/>
    <x v="68"/>
    <n v="1488"/>
    <x v="57"/>
    <n v="0"/>
    <x v="2"/>
    <n v="960"/>
    <x v="54"/>
    <x v="86"/>
    <x v="109"/>
    <n v="0"/>
    <x v="15"/>
    <n v="0"/>
    <x v="3"/>
    <n v="30"/>
  </r>
  <r>
    <x v="1"/>
    <x v="1"/>
    <s v="B"/>
    <x v="24"/>
    <x v="1"/>
    <n v="960"/>
    <x v="1"/>
    <n v="0"/>
    <x v="1"/>
    <n v="912"/>
    <x v="1"/>
    <x v="99"/>
    <x v="1"/>
    <n v="0"/>
    <x v="1"/>
    <n v="0"/>
    <x v="1"/>
    <m/>
  </r>
  <r>
    <x v="1"/>
    <x v="1"/>
    <s v="C"/>
    <x v="25"/>
    <x v="1"/>
    <n v="1248"/>
    <x v="1"/>
    <n v="0"/>
    <x v="1"/>
    <n v="912"/>
    <x v="1"/>
    <x v="14"/>
    <x v="1"/>
    <n v="0"/>
    <x v="1"/>
    <n v="0"/>
    <x v="1"/>
    <m/>
  </r>
  <r>
    <x v="1"/>
    <x v="173"/>
    <s v="A"/>
    <x v="51"/>
    <x v="85"/>
    <n v="3312"/>
    <x v="66"/>
    <n v="0"/>
    <x v="2"/>
    <n v="0"/>
    <x v="2"/>
    <x v="86"/>
    <x v="93"/>
    <n v="0"/>
    <x v="15"/>
    <n v="0"/>
    <x v="3"/>
    <n v="35"/>
  </r>
  <r>
    <x v="1"/>
    <x v="1"/>
    <s v="B"/>
    <x v="24"/>
    <x v="1"/>
    <n v="2832"/>
    <x v="1"/>
    <n v="0"/>
    <x v="1"/>
    <n v="0"/>
    <x v="1"/>
    <x v="86"/>
    <x v="1"/>
    <n v="0"/>
    <x v="1"/>
    <n v="0"/>
    <x v="1"/>
    <m/>
  </r>
  <r>
    <x v="1"/>
    <x v="1"/>
    <s v="C"/>
    <x v="27"/>
    <x v="1"/>
    <n v="3168"/>
    <x v="1"/>
    <n v="0"/>
    <x v="1"/>
    <n v="0"/>
    <x v="1"/>
    <x v="86"/>
    <x v="1"/>
    <n v="0"/>
    <x v="1"/>
    <n v="0"/>
    <x v="1"/>
    <m/>
  </r>
  <r>
    <x v="1"/>
    <x v="174"/>
    <s v="A"/>
    <x v="51"/>
    <x v="73"/>
    <n v="2976"/>
    <x v="67"/>
    <n v="0"/>
    <x v="2"/>
    <n v="0"/>
    <x v="70"/>
    <x v="86"/>
    <x v="94"/>
    <n v="0"/>
    <x v="15"/>
    <n v="0"/>
    <x v="3"/>
    <n v="42"/>
  </r>
  <r>
    <x v="1"/>
    <x v="1"/>
    <s v="B"/>
    <x v="24"/>
    <x v="1"/>
    <n v="2400"/>
    <x v="1"/>
    <n v="0"/>
    <x v="1"/>
    <n v="0"/>
    <x v="1"/>
    <x v="86"/>
    <x v="1"/>
    <n v="0"/>
    <x v="1"/>
    <n v="0"/>
    <x v="1"/>
    <m/>
  </r>
  <r>
    <x v="1"/>
    <x v="1"/>
    <s v="C"/>
    <x v="39"/>
    <x v="1"/>
    <n v="618"/>
    <x v="1"/>
    <n v="0"/>
    <x v="1"/>
    <n v="570"/>
    <x v="1"/>
    <x v="14"/>
    <x v="1"/>
    <n v="0"/>
    <x v="1"/>
    <n v="0"/>
    <x v="1"/>
    <m/>
  </r>
  <r>
    <x v="1"/>
    <x v="175"/>
    <s v="A"/>
    <x v="51"/>
    <x v="82"/>
    <n v="1344"/>
    <x v="68"/>
    <n v="0"/>
    <x v="2"/>
    <n v="720"/>
    <x v="22"/>
    <x v="86"/>
    <x v="94"/>
    <n v="0"/>
    <x v="15"/>
    <n v="0"/>
    <x v="3"/>
    <n v="23"/>
  </r>
  <r>
    <x v="1"/>
    <x v="1"/>
    <s v="B"/>
    <x v="27"/>
    <x v="1"/>
    <n v="720"/>
    <x v="1"/>
    <n v="0"/>
    <x v="1"/>
    <n v="624"/>
    <x v="1"/>
    <x v="86"/>
    <x v="1"/>
    <n v="0"/>
    <x v="1"/>
    <n v="0"/>
    <x v="1"/>
    <m/>
  </r>
  <r>
    <x v="1"/>
    <x v="1"/>
    <s v="C"/>
    <x v="39"/>
    <x v="1"/>
    <n v="510"/>
    <x v="1"/>
    <n v="0"/>
    <x v="1"/>
    <n v="672"/>
    <x v="1"/>
    <x v="14"/>
    <x v="1"/>
    <n v="0"/>
    <x v="1"/>
    <n v="0"/>
    <x v="1"/>
    <m/>
  </r>
  <r>
    <x v="1"/>
    <x v="176"/>
    <s v="A"/>
    <x v="27"/>
    <x v="83"/>
    <n v="1200"/>
    <x v="69"/>
    <n v="0"/>
    <x v="2"/>
    <n v="672"/>
    <x v="22"/>
    <x v="86"/>
    <x v="110"/>
    <n v="0"/>
    <x v="15"/>
    <n v="0"/>
    <x v="3"/>
    <n v="23"/>
  </r>
  <r>
    <x v="1"/>
    <x v="1"/>
    <s v="B"/>
    <x v="24"/>
    <x v="1"/>
    <n v="960"/>
    <x v="1"/>
    <n v="0"/>
    <x v="1"/>
    <n v="672"/>
    <x v="1"/>
    <x v="86"/>
    <x v="1"/>
    <n v="0"/>
    <x v="1"/>
    <n v="0"/>
    <x v="1"/>
    <m/>
  </r>
  <r>
    <x v="1"/>
    <x v="1"/>
    <s v="C"/>
    <x v="39"/>
    <x v="1"/>
    <n v="510"/>
    <x v="1"/>
    <n v="0"/>
    <x v="1"/>
    <n v="672"/>
    <x v="1"/>
    <x v="91"/>
    <x v="1"/>
    <n v="0"/>
    <x v="1"/>
    <n v="0"/>
    <x v="1"/>
    <m/>
  </r>
  <r>
    <x v="7"/>
    <x v="177"/>
    <s v="A"/>
    <x v="51"/>
    <x v="82"/>
    <n v="960"/>
    <x v="70"/>
    <n v="0"/>
    <x v="2"/>
    <n v="672"/>
    <x v="22"/>
    <x v="61"/>
    <x v="94"/>
    <n v="0"/>
    <x v="15"/>
    <n v="0"/>
    <x v="3"/>
    <m/>
  </r>
  <r>
    <x v="1"/>
    <x v="1"/>
    <s v="B"/>
    <x v="27"/>
    <x v="1"/>
    <n v="960"/>
    <x v="1"/>
    <n v="0"/>
    <x v="1"/>
    <n v="672"/>
    <x v="1"/>
    <x v="86"/>
    <x v="1"/>
    <n v="0"/>
    <x v="1"/>
    <n v="0"/>
    <x v="1"/>
    <m/>
  </r>
  <r>
    <x v="1"/>
    <x v="1"/>
    <s v="C"/>
    <x v="39"/>
    <x v="1"/>
    <n v="540"/>
    <x v="1"/>
    <n v="0"/>
    <x v="1"/>
    <n v="672"/>
    <x v="1"/>
    <x v="91"/>
    <x v="1"/>
    <n v="0"/>
    <x v="1"/>
    <n v="0"/>
    <x v="1"/>
    <m/>
  </r>
  <r>
    <x v="1"/>
    <x v="178"/>
    <s v="A"/>
    <x v="24"/>
    <x v="57"/>
    <n v="960"/>
    <x v="71"/>
    <n v="0"/>
    <x v="2"/>
    <n v="864"/>
    <x v="46"/>
    <x v="86"/>
    <x v="114"/>
    <n v="0"/>
    <x v="15"/>
    <n v="0"/>
    <x v="3"/>
    <m/>
  </r>
  <r>
    <x v="1"/>
    <x v="1"/>
    <s v="B"/>
    <x v="51"/>
    <x v="1"/>
    <n v="168"/>
    <x v="1"/>
    <n v="0"/>
    <x v="1"/>
    <n v="960"/>
    <x v="1"/>
    <x v="86"/>
    <x v="1"/>
    <n v="0"/>
    <x v="1"/>
    <n v="0"/>
    <x v="1"/>
    <m/>
  </r>
  <r>
    <x v="1"/>
    <x v="1"/>
    <s v="C"/>
    <x v="51"/>
    <x v="1"/>
    <n v="1440"/>
    <x v="1"/>
    <n v="0"/>
    <x v="1"/>
    <n v="864"/>
    <x v="1"/>
    <x v="96"/>
    <x v="1"/>
    <n v="0"/>
    <x v="1"/>
    <n v="0"/>
    <x v="1"/>
    <m/>
  </r>
  <r>
    <x v="1"/>
    <x v="179"/>
    <s v="A"/>
    <x v="33"/>
    <x v="42"/>
    <n v="2072"/>
    <x v="72"/>
    <n v="0"/>
    <x v="2"/>
    <n v="480"/>
    <x v="71"/>
    <x v="86"/>
    <x v="115"/>
    <n v="0"/>
    <x v="15"/>
    <n v="0"/>
    <x v="3"/>
    <n v="4"/>
  </r>
  <r>
    <x v="1"/>
    <x v="1"/>
    <s v="B"/>
    <x v="33"/>
    <x v="1"/>
    <n v="2496"/>
    <x v="1"/>
    <n v="0"/>
    <x v="1"/>
    <n v="1800"/>
    <x v="1"/>
    <x v="88"/>
    <x v="1"/>
    <n v="0"/>
    <x v="1"/>
    <n v="0"/>
    <x v="1"/>
    <m/>
  </r>
  <r>
    <x v="1"/>
    <x v="1"/>
    <s v="C"/>
    <x v="27"/>
    <x v="1"/>
    <n v="2736"/>
    <x v="1"/>
    <n v="0"/>
    <x v="1"/>
    <n v="720"/>
    <x v="1"/>
    <x v="86"/>
    <x v="1"/>
    <n v="0"/>
    <x v="1"/>
    <n v="0"/>
    <x v="1"/>
    <m/>
  </r>
  <r>
    <x v="1"/>
    <x v="180"/>
    <s v="A"/>
    <x v="21"/>
    <x v="29"/>
    <n v="2736"/>
    <x v="73"/>
    <n v="0"/>
    <x v="2"/>
    <n v="1920"/>
    <x v="48"/>
    <x v="86"/>
    <x v="114"/>
    <n v="0"/>
    <x v="15"/>
    <n v="0"/>
    <x v="3"/>
    <n v="185"/>
  </r>
  <r>
    <x v="1"/>
    <x v="1"/>
    <s v="B"/>
    <x v="27"/>
    <x v="1"/>
    <n v="2016"/>
    <x v="1"/>
    <n v="0"/>
    <x v="1"/>
    <n v="1440"/>
    <x v="1"/>
    <x v="86"/>
    <x v="1"/>
    <n v="0"/>
    <x v="1"/>
    <n v="0"/>
    <x v="1"/>
    <m/>
  </r>
  <r>
    <x v="1"/>
    <x v="1"/>
    <s v="C"/>
    <x v="24"/>
    <x v="1"/>
    <n v="0"/>
    <x v="1"/>
    <n v="0"/>
    <x v="1"/>
    <n v="0"/>
    <x v="1"/>
    <x v="96"/>
    <x v="1"/>
    <n v="0"/>
    <x v="1"/>
    <n v="0"/>
    <x v="1"/>
    <m/>
  </r>
  <r>
    <x v="1"/>
    <x v="181"/>
    <s v="A"/>
    <x v="51"/>
    <x v="86"/>
    <n v="2880"/>
    <x v="74"/>
    <n v="0"/>
    <x v="2"/>
    <n v="1680"/>
    <x v="72"/>
    <x v="87"/>
    <x v="116"/>
    <n v="0"/>
    <x v="15"/>
    <n v="0"/>
    <x v="3"/>
    <n v="130"/>
  </r>
  <r>
    <x v="1"/>
    <x v="1"/>
    <s v="B"/>
    <x v="39"/>
    <x v="1"/>
    <n v="3120"/>
    <x v="1"/>
    <n v="0"/>
    <x v="1"/>
    <n v="630"/>
    <x v="1"/>
    <x v="98"/>
    <x v="1"/>
    <n v="0"/>
    <x v="1"/>
    <n v="0"/>
    <x v="1"/>
    <m/>
  </r>
  <r>
    <x v="1"/>
    <x v="1"/>
    <s v="C"/>
    <x v="51"/>
    <x v="1"/>
    <n v="2875"/>
    <x v="1"/>
    <n v="0"/>
    <x v="1"/>
    <n v="630"/>
    <x v="1"/>
    <x v="61"/>
    <x v="1"/>
    <n v="0"/>
    <x v="1"/>
    <n v="0"/>
    <x v="1"/>
    <m/>
  </r>
  <r>
    <x v="1"/>
    <x v="182"/>
    <s v="A"/>
    <x v="27"/>
    <x v="82"/>
    <n v="1584"/>
    <x v="75"/>
    <n v="0"/>
    <x v="2"/>
    <n v="1920"/>
    <x v="73"/>
    <x v="86"/>
    <x v="98"/>
    <n v="0"/>
    <x v="15"/>
    <n v="0"/>
    <x v="3"/>
    <n v="70"/>
  </r>
  <r>
    <x v="1"/>
    <x v="1"/>
    <s v="B"/>
    <x v="39"/>
    <x v="1"/>
    <n v="2424"/>
    <x v="1"/>
    <n v="0"/>
    <x v="1"/>
    <n v="1440"/>
    <x v="1"/>
    <x v="61"/>
    <x v="1"/>
    <n v="0"/>
    <x v="1"/>
    <n v="0"/>
    <x v="1"/>
    <m/>
  </r>
  <r>
    <x v="1"/>
    <x v="1"/>
    <s v="C"/>
    <x v="51"/>
    <x v="1"/>
    <n v="2424"/>
    <x v="1"/>
    <n v="0"/>
    <x v="1"/>
    <n v="1440"/>
    <x v="1"/>
    <x v="61"/>
    <x v="1"/>
    <n v="0"/>
    <x v="1"/>
    <n v="0"/>
    <x v="1"/>
    <m/>
  </r>
  <r>
    <x v="1"/>
    <x v="183"/>
    <s v="A"/>
    <x v="19"/>
    <x v="74"/>
    <n v="2074"/>
    <x v="76"/>
    <n v="0"/>
    <x v="2"/>
    <n v="0"/>
    <x v="2"/>
    <x v="99"/>
    <x v="104"/>
    <n v="0"/>
    <x v="15"/>
    <n v="0"/>
    <x v="3"/>
    <n v="55"/>
  </r>
  <r>
    <x v="1"/>
    <x v="1"/>
    <s v="B"/>
    <x v="39"/>
    <x v="1"/>
    <n v="3282"/>
    <x v="1"/>
    <n v="0"/>
    <x v="1"/>
    <n v="0"/>
    <x v="1"/>
    <x v="18"/>
    <x v="1"/>
    <n v="0"/>
    <x v="1"/>
    <n v="0"/>
    <x v="1"/>
    <m/>
  </r>
  <r>
    <x v="1"/>
    <x v="1"/>
    <s v="C"/>
    <x v="51"/>
    <x v="1"/>
    <n v="3072"/>
    <x v="1"/>
    <n v="0"/>
    <x v="1"/>
    <n v="0"/>
    <x v="1"/>
    <x v="99"/>
    <x v="1"/>
    <n v="0"/>
    <x v="1"/>
    <n v="0"/>
    <x v="1"/>
    <m/>
  </r>
  <r>
    <x v="1"/>
    <x v="184"/>
    <s v="A"/>
    <x v="51"/>
    <x v="86"/>
    <n v="1200"/>
    <x v="43"/>
    <n v="0"/>
    <x v="2"/>
    <n v="1248"/>
    <x v="13"/>
    <x v="99"/>
    <x v="117"/>
    <n v="0"/>
    <x v="15"/>
    <n v="0"/>
    <x v="3"/>
    <m/>
  </r>
  <r>
    <x v="1"/>
    <x v="1"/>
    <s v="B"/>
    <x v="39"/>
    <x v="1"/>
    <n v="2832"/>
    <x v="1"/>
    <n v="0"/>
    <x v="1"/>
    <n v="0"/>
    <x v="1"/>
    <x v="18"/>
    <x v="1"/>
    <n v="0"/>
    <x v="1"/>
    <n v="0"/>
    <x v="1"/>
    <m/>
  </r>
  <r>
    <x v="1"/>
    <x v="1"/>
    <s v="C"/>
    <x v="51"/>
    <x v="1"/>
    <n v="2640"/>
    <x v="1"/>
    <n v="0"/>
    <x v="1"/>
    <n v="0"/>
    <x v="1"/>
    <x v="18"/>
    <x v="1"/>
    <n v="0"/>
    <x v="1"/>
    <n v="0"/>
    <x v="1"/>
    <m/>
  </r>
  <r>
    <x v="1"/>
    <x v="185"/>
    <s v="A"/>
    <x v="39"/>
    <x v="86"/>
    <n v="2976"/>
    <x v="77"/>
    <n v="0"/>
    <x v="2"/>
    <n v="0"/>
    <x v="2"/>
    <x v="18"/>
    <x v="118"/>
    <n v="0"/>
    <x v="15"/>
    <n v="0"/>
    <x v="3"/>
    <m/>
  </r>
  <r>
    <x v="1"/>
    <x v="1"/>
    <s v="B"/>
    <x v="51"/>
    <x v="1"/>
    <n v="2976"/>
    <x v="1"/>
    <n v="0"/>
    <x v="1"/>
    <n v="0"/>
    <x v="1"/>
    <x v="18"/>
    <x v="1"/>
    <n v="0"/>
    <x v="1"/>
    <n v="0"/>
    <x v="1"/>
    <m/>
  </r>
  <r>
    <x v="1"/>
    <x v="1"/>
    <s v="C"/>
    <x v="51"/>
    <x v="1"/>
    <n v="2976"/>
    <x v="1"/>
    <n v="0"/>
    <x v="1"/>
    <n v="0"/>
    <x v="1"/>
    <x v="18"/>
    <x v="1"/>
    <n v="0"/>
    <x v="1"/>
    <n v="0"/>
    <x v="1"/>
    <m/>
  </r>
  <r>
    <x v="1"/>
    <x v="186"/>
    <s v="A"/>
    <x v="39"/>
    <x v="86"/>
    <n v="2928"/>
    <x v="78"/>
    <n v="0"/>
    <x v="2"/>
    <n v="0"/>
    <x v="2"/>
    <x v="99"/>
    <x v="119"/>
    <n v="0"/>
    <x v="15"/>
    <n v="0"/>
    <x v="3"/>
    <n v="53"/>
  </r>
  <r>
    <x v="1"/>
    <x v="1"/>
    <s v="B"/>
    <x v="51"/>
    <x v="1"/>
    <n v="2928"/>
    <x v="1"/>
    <n v="0"/>
    <x v="1"/>
    <n v="0"/>
    <x v="1"/>
    <x v="99"/>
    <x v="1"/>
    <n v="0"/>
    <x v="1"/>
    <n v="0"/>
    <x v="1"/>
    <m/>
  </r>
  <r>
    <x v="1"/>
    <x v="1"/>
    <s v="C"/>
    <x v="51"/>
    <x v="1"/>
    <n v="2928"/>
    <x v="1"/>
    <n v="0"/>
    <x v="1"/>
    <n v="0"/>
    <x v="1"/>
    <x v="99"/>
    <x v="1"/>
    <n v="0"/>
    <x v="1"/>
    <n v="0"/>
    <x v="1"/>
    <m/>
  </r>
  <r>
    <x v="1"/>
    <x v="187"/>
    <s v="A"/>
    <x v="51"/>
    <x v="87"/>
    <n v="2736"/>
    <x v="79"/>
    <n v="0"/>
    <x v="2"/>
    <n v="0"/>
    <x v="2"/>
    <x v="99"/>
    <x v="119"/>
    <n v="0"/>
    <x v="15"/>
    <n v="0"/>
    <x v="3"/>
    <n v="56"/>
  </r>
  <r>
    <x v="1"/>
    <x v="1"/>
    <s v="B"/>
    <x v="51"/>
    <x v="1"/>
    <n v="2736"/>
    <x v="1"/>
    <n v="0"/>
    <x v="1"/>
    <n v="0"/>
    <x v="1"/>
    <x v="99"/>
    <x v="1"/>
    <n v="0"/>
    <x v="1"/>
    <n v="0"/>
    <x v="1"/>
    <m/>
  </r>
  <r>
    <x v="1"/>
    <x v="1"/>
    <s v="C"/>
    <x v="51"/>
    <x v="1"/>
    <n v="2736"/>
    <x v="1"/>
    <n v="0"/>
    <x v="1"/>
    <n v="0"/>
    <x v="1"/>
    <x v="99"/>
    <x v="1"/>
    <n v="0"/>
    <x v="1"/>
    <n v="0"/>
    <x v="1"/>
    <m/>
  </r>
  <r>
    <x v="1"/>
    <x v="188"/>
    <s v="A"/>
    <x v="51"/>
    <x v="87"/>
    <n v="2640"/>
    <x v="44"/>
    <n v="0"/>
    <x v="2"/>
    <n v="0"/>
    <x v="2"/>
    <x v="99"/>
    <x v="119"/>
    <n v="0"/>
    <x v="15"/>
    <n v="0"/>
    <x v="3"/>
    <n v="30"/>
  </r>
  <r>
    <x v="1"/>
    <x v="1"/>
    <s v="B"/>
    <x v="51"/>
    <x v="1"/>
    <n v="2640"/>
    <x v="1"/>
    <n v="0"/>
    <x v="1"/>
    <n v="0"/>
    <x v="1"/>
    <x v="99"/>
    <x v="1"/>
    <n v="0"/>
    <x v="1"/>
    <n v="0"/>
    <x v="1"/>
    <m/>
  </r>
  <r>
    <x v="1"/>
    <x v="1"/>
    <s v="C"/>
    <x v="51"/>
    <x v="1"/>
    <n v="2640"/>
    <x v="1"/>
    <n v="0"/>
    <x v="1"/>
    <n v="0"/>
    <x v="1"/>
    <x v="99"/>
    <x v="1"/>
    <n v="0"/>
    <x v="1"/>
    <n v="0"/>
    <x v="1"/>
    <m/>
  </r>
  <r>
    <x v="1"/>
    <x v="189"/>
    <s v="A"/>
    <x v="25"/>
    <x v="84"/>
    <n v="2400"/>
    <x v="80"/>
    <n v="0"/>
    <x v="2"/>
    <n v="0"/>
    <x v="2"/>
    <x v="99"/>
    <x v="119"/>
    <n v="0"/>
    <x v="15"/>
    <n v="0"/>
    <x v="3"/>
    <n v="25"/>
  </r>
  <r>
    <x v="1"/>
    <x v="1"/>
    <s v="B"/>
    <x v="51"/>
    <x v="1"/>
    <n v="2256"/>
    <x v="1"/>
    <n v="0"/>
    <x v="1"/>
    <n v="0"/>
    <x v="1"/>
    <x v="99"/>
    <x v="1"/>
    <n v="0"/>
    <x v="1"/>
    <n v="0"/>
    <x v="1"/>
    <m/>
  </r>
  <r>
    <x v="1"/>
    <x v="1"/>
    <s v="C"/>
    <x v="51"/>
    <x v="1"/>
    <n v="2256"/>
    <x v="1"/>
    <n v="0"/>
    <x v="1"/>
    <n v="0"/>
    <x v="1"/>
    <x v="99"/>
    <x v="1"/>
    <n v="0"/>
    <x v="1"/>
    <n v="0"/>
    <x v="1"/>
    <m/>
  </r>
  <r>
    <x v="1"/>
    <x v="190"/>
    <s v="A"/>
    <x v="11"/>
    <x v="25"/>
    <n v="900"/>
    <x v="81"/>
    <n v="0"/>
    <x v="2"/>
    <n v="0"/>
    <x v="2"/>
    <x v="103"/>
    <x v="120"/>
    <n v="0"/>
    <x v="15"/>
    <n v="0"/>
    <x v="3"/>
    <n v="30"/>
  </r>
  <r>
    <x v="1"/>
    <x v="1"/>
    <s v="B"/>
    <x v="32"/>
    <x v="1"/>
    <n v="1584"/>
    <x v="1"/>
    <n v="0"/>
    <x v="1"/>
    <n v="0"/>
    <x v="1"/>
    <x v="99"/>
    <x v="1"/>
    <n v="0"/>
    <x v="1"/>
    <n v="0"/>
    <x v="1"/>
    <m/>
  </r>
  <r>
    <x v="1"/>
    <x v="1"/>
    <s v="C"/>
    <x v="51"/>
    <x v="1"/>
    <n v="1920"/>
    <x v="1"/>
    <n v="0"/>
    <x v="1"/>
    <n v="0"/>
    <x v="1"/>
    <x v="99"/>
    <x v="1"/>
    <n v="0"/>
    <x v="1"/>
    <n v="0"/>
    <x v="1"/>
    <m/>
  </r>
  <r>
    <x v="1"/>
    <x v="191"/>
    <s v="A"/>
    <x v="26"/>
    <x v="74"/>
    <n v="1728"/>
    <x v="82"/>
    <n v="0"/>
    <x v="2"/>
    <n v="0"/>
    <x v="2"/>
    <x v="99"/>
    <x v="119"/>
    <n v="0"/>
    <x v="15"/>
    <n v="0"/>
    <x v="3"/>
    <m/>
  </r>
  <r>
    <x v="1"/>
    <x v="1"/>
    <s v="B"/>
    <x v="39"/>
    <x v="1"/>
    <n v="1440"/>
    <x v="1"/>
    <n v="0"/>
    <x v="1"/>
    <n v="0"/>
    <x v="1"/>
    <x v="99"/>
    <x v="1"/>
    <n v="0"/>
    <x v="1"/>
    <n v="0"/>
    <x v="1"/>
    <m/>
  </r>
  <r>
    <x v="1"/>
    <x v="1"/>
    <s v="C"/>
    <x v="26"/>
    <x v="1"/>
    <n v="1296"/>
    <x v="1"/>
    <n v="0"/>
    <x v="1"/>
    <n v="0"/>
    <x v="1"/>
    <x v="99"/>
    <x v="1"/>
    <n v="0"/>
    <x v="1"/>
    <n v="0"/>
    <x v="1"/>
    <m/>
  </r>
  <r>
    <x v="1"/>
    <x v="192"/>
    <s v="A"/>
    <x v="39"/>
    <x v="45"/>
    <n v="1296"/>
    <x v="83"/>
    <n v="0"/>
    <x v="2"/>
    <n v="0"/>
    <x v="2"/>
    <x v="99"/>
    <x v="121"/>
    <n v="0"/>
    <x v="15"/>
    <n v="0"/>
    <x v="3"/>
    <n v="30"/>
  </r>
  <r>
    <x v="1"/>
    <x v="1"/>
    <s v="B"/>
    <x v="52"/>
    <x v="1"/>
    <n v="1824"/>
    <x v="1"/>
    <n v="0"/>
    <x v="1"/>
    <n v="0"/>
    <x v="1"/>
    <x v="99"/>
    <x v="1"/>
    <n v="0"/>
    <x v="1"/>
    <n v="0"/>
    <x v="1"/>
    <m/>
  </r>
  <r>
    <x v="1"/>
    <x v="1"/>
    <s v="C"/>
    <x v="11"/>
    <x v="1"/>
    <n v="768"/>
    <x v="1"/>
    <n v="0"/>
    <x v="1"/>
    <n v="0"/>
    <x v="1"/>
    <x v="104"/>
    <x v="1"/>
    <n v="0"/>
    <x v="1"/>
    <n v="0"/>
    <x v="1"/>
    <m/>
  </r>
  <r>
    <x v="1"/>
    <x v="193"/>
    <s v="A"/>
    <x v="34"/>
    <x v="68"/>
    <n v="1440"/>
    <x v="84"/>
    <n v="0"/>
    <x v="2"/>
    <n v="0"/>
    <x v="2"/>
    <x v="99"/>
    <x v="105"/>
    <n v="0"/>
    <x v="15"/>
    <n v="0"/>
    <x v="3"/>
    <n v="25"/>
  </r>
  <r>
    <x v="1"/>
    <x v="1"/>
    <s v="B"/>
    <x v="51"/>
    <x v="1"/>
    <n v="1728"/>
    <x v="1"/>
    <n v="0"/>
    <x v="1"/>
    <n v="0"/>
    <x v="1"/>
    <x v="100"/>
    <x v="1"/>
    <n v="0"/>
    <x v="1"/>
    <n v="0"/>
    <x v="1"/>
    <m/>
  </r>
  <r>
    <x v="1"/>
    <x v="1"/>
    <s v="C"/>
    <x v="33"/>
    <x v="1"/>
    <n v="1452"/>
    <x v="1"/>
    <n v="0"/>
    <x v="1"/>
    <n v="0"/>
    <x v="1"/>
    <x v="104"/>
    <x v="1"/>
    <n v="0"/>
    <x v="1"/>
    <n v="0"/>
    <x v="1"/>
    <m/>
  </r>
  <r>
    <x v="1"/>
    <x v="194"/>
    <s v="A"/>
    <x v="52"/>
    <x v="88"/>
    <n v="1920"/>
    <x v="85"/>
    <n v="0"/>
    <x v="2"/>
    <n v="0"/>
    <x v="2"/>
    <x v="99"/>
    <x v="122"/>
    <n v="0"/>
    <x v="15"/>
    <n v="0"/>
    <x v="3"/>
    <n v="22"/>
  </r>
  <r>
    <x v="1"/>
    <x v="1"/>
    <s v="B"/>
    <x v="52"/>
    <x v="1"/>
    <n v="1824"/>
    <x v="1"/>
    <n v="0"/>
    <x v="1"/>
    <n v="0"/>
    <x v="1"/>
    <x v="20"/>
    <x v="1"/>
    <n v="0"/>
    <x v="1"/>
    <n v="0"/>
    <x v="1"/>
    <m/>
  </r>
  <r>
    <x v="1"/>
    <x v="1"/>
    <s v="C"/>
    <x v="43"/>
    <x v="1"/>
    <n v="1452"/>
    <x v="1"/>
    <n v="0"/>
    <x v="1"/>
    <n v="0"/>
    <x v="1"/>
    <x v="104"/>
    <x v="1"/>
    <n v="0"/>
    <x v="1"/>
    <n v="0"/>
    <x v="1"/>
    <m/>
  </r>
  <r>
    <x v="1"/>
    <x v="195"/>
    <s v="A"/>
    <x v="52"/>
    <x v="89"/>
    <n v="2064"/>
    <x v="86"/>
    <n v="0"/>
    <x v="2"/>
    <n v="0"/>
    <x v="2"/>
    <x v="99"/>
    <x v="121"/>
    <n v="0"/>
    <x v="15"/>
    <n v="0"/>
    <x v="3"/>
    <n v="20"/>
  </r>
  <r>
    <x v="1"/>
    <x v="1"/>
    <s v="B"/>
    <x v="52"/>
    <x v="1"/>
    <n v="2064"/>
    <x v="1"/>
    <n v="0"/>
    <x v="1"/>
    <n v="0"/>
    <x v="1"/>
    <x v="99"/>
    <x v="1"/>
    <n v="0"/>
    <x v="1"/>
    <n v="0"/>
    <x v="1"/>
    <m/>
  </r>
  <r>
    <x v="1"/>
    <x v="1"/>
    <s v="C"/>
    <x v="53"/>
    <x v="1"/>
    <n v="1854"/>
    <x v="1"/>
    <n v="0"/>
    <x v="1"/>
    <n v="0"/>
    <x v="1"/>
    <x v="104"/>
    <x v="1"/>
    <n v="0"/>
    <x v="1"/>
    <n v="0"/>
    <x v="1"/>
    <m/>
  </r>
  <r>
    <x v="1"/>
    <x v="196"/>
    <s v="A"/>
    <x v="52"/>
    <x v="73"/>
    <n v="1632"/>
    <x v="87"/>
    <n v="0"/>
    <x v="2"/>
    <n v="0"/>
    <x v="2"/>
    <x v="99"/>
    <x v="121"/>
    <n v="0"/>
    <x v="15"/>
    <n v="0"/>
    <x v="3"/>
    <m/>
  </r>
  <r>
    <x v="1"/>
    <x v="1"/>
    <s v="B"/>
    <x v="39"/>
    <x v="1"/>
    <n v="1144"/>
    <x v="1"/>
    <n v="0"/>
    <x v="1"/>
    <n v="0"/>
    <x v="1"/>
    <x v="99"/>
    <x v="1"/>
    <n v="0"/>
    <x v="1"/>
    <n v="0"/>
    <x v="1"/>
    <m/>
  </r>
  <r>
    <x v="1"/>
    <x v="1"/>
    <s v="C"/>
    <x v="38"/>
    <x v="1"/>
    <n v="924"/>
    <x v="1"/>
    <n v="0"/>
    <x v="1"/>
    <n v="0"/>
    <x v="1"/>
    <x v="104"/>
    <x v="1"/>
    <n v="0"/>
    <x v="1"/>
    <n v="0"/>
    <x v="1"/>
    <m/>
  </r>
  <r>
    <x v="1"/>
    <x v="197"/>
    <s v="A"/>
    <x v="39"/>
    <x v="30"/>
    <n v="1440"/>
    <x v="34"/>
    <n v="0"/>
    <x v="2"/>
    <n v="0"/>
    <x v="2"/>
    <x v="99"/>
    <x v="119"/>
    <n v="0"/>
    <x v="15"/>
    <n v="0"/>
    <x v="3"/>
    <m/>
  </r>
  <r>
    <x v="1"/>
    <x v="1"/>
    <s v="B"/>
    <x v="39"/>
    <x v="1"/>
    <n v="1440"/>
    <x v="1"/>
    <n v="0"/>
    <x v="1"/>
    <n v="0"/>
    <x v="1"/>
    <x v="99"/>
    <x v="1"/>
    <n v="0"/>
    <x v="1"/>
    <n v="0"/>
    <x v="1"/>
    <m/>
  </r>
  <r>
    <x v="1"/>
    <x v="1"/>
    <s v="C"/>
    <x v="38"/>
    <x v="1"/>
    <n v="1440"/>
    <x v="1"/>
    <n v="0"/>
    <x v="1"/>
    <n v="0"/>
    <x v="1"/>
    <x v="99"/>
    <x v="1"/>
    <n v="0"/>
    <x v="1"/>
    <n v="0"/>
    <x v="1"/>
    <m/>
  </r>
  <r>
    <x v="1"/>
    <x v="198"/>
    <s v="A"/>
    <x v="39"/>
    <x v="78"/>
    <n v="1440"/>
    <x v="88"/>
    <n v="0"/>
    <x v="2"/>
    <n v="0"/>
    <x v="2"/>
    <x v="99"/>
    <x v="121"/>
    <n v="0"/>
    <x v="15"/>
    <n v="0"/>
    <x v="3"/>
    <m/>
  </r>
  <r>
    <x v="1"/>
    <x v="1"/>
    <s v="B"/>
    <x v="39"/>
    <x v="1"/>
    <n v="1440"/>
    <x v="1"/>
    <n v="0"/>
    <x v="1"/>
    <n v="0"/>
    <x v="1"/>
    <x v="99"/>
    <x v="1"/>
    <n v="0"/>
    <x v="1"/>
    <n v="0"/>
    <x v="1"/>
    <m/>
  </r>
  <r>
    <x v="1"/>
    <x v="1"/>
    <s v="C"/>
    <x v="39"/>
    <x v="1"/>
    <n v="1080"/>
    <x v="1"/>
    <n v="0"/>
    <x v="1"/>
    <n v="0"/>
    <x v="1"/>
    <x v="104"/>
    <x v="1"/>
    <n v="0"/>
    <x v="1"/>
    <n v="0"/>
    <x v="1"/>
    <m/>
  </r>
  <r>
    <x v="1"/>
    <x v="199"/>
    <s v="A"/>
    <x v="38"/>
    <x v="64"/>
    <n v="1296"/>
    <x v="89"/>
    <n v="0"/>
    <x v="2"/>
    <n v="0"/>
    <x v="2"/>
    <x v="89"/>
    <x v="123"/>
    <n v="0"/>
    <x v="15"/>
    <n v="0"/>
    <x v="3"/>
    <m/>
  </r>
  <r>
    <x v="1"/>
    <x v="1"/>
    <s v="B"/>
    <x v="38"/>
    <x v="1"/>
    <n v="1200"/>
    <x v="1"/>
    <n v="0"/>
    <x v="1"/>
    <n v="0"/>
    <x v="1"/>
    <x v="99"/>
    <x v="1"/>
    <n v="0"/>
    <x v="1"/>
    <n v="0"/>
    <x v="1"/>
    <m/>
  </r>
  <r>
    <x v="1"/>
    <x v="1"/>
    <s v="C"/>
    <x v="52"/>
    <x v="1"/>
    <n v="1344"/>
    <x v="1"/>
    <n v="0"/>
    <x v="1"/>
    <n v="0"/>
    <x v="1"/>
    <x v="99"/>
    <x v="1"/>
    <n v="0"/>
    <x v="1"/>
    <n v="0"/>
    <x v="1"/>
    <m/>
  </r>
  <r>
    <x v="1"/>
    <x v="200"/>
    <s v="A"/>
    <x v="39"/>
    <x v="85"/>
    <n v="1200"/>
    <x v="90"/>
    <n v="0"/>
    <x v="2"/>
    <n v="0"/>
    <x v="2"/>
    <x v="99"/>
    <x v="119"/>
    <n v="0"/>
    <x v="15"/>
    <n v="0"/>
    <x v="3"/>
    <n v="18"/>
  </r>
  <r>
    <x v="1"/>
    <x v="1"/>
    <s v="B"/>
    <x v="39"/>
    <x v="1"/>
    <n v="1200"/>
    <x v="1"/>
    <n v="0"/>
    <x v="1"/>
    <n v="0"/>
    <x v="1"/>
    <x v="99"/>
    <x v="1"/>
    <n v="0"/>
    <x v="1"/>
    <n v="0"/>
    <x v="1"/>
    <m/>
  </r>
  <r>
    <x v="1"/>
    <x v="1"/>
    <s v="C"/>
    <x v="52"/>
    <x v="1"/>
    <n v="1566"/>
    <x v="1"/>
    <n v="0"/>
    <x v="1"/>
    <n v="0"/>
    <x v="1"/>
    <x v="99"/>
    <x v="1"/>
    <n v="0"/>
    <x v="1"/>
    <n v="0"/>
    <x v="1"/>
    <m/>
  </r>
  <r>
    <x v="1"/>
    <x v="201"/>
    <s v="A"/>
    <x v="52"/>
    <x v="71"/>
    <n v="1584"/>
    <x v="91"/>
    <n v="0"/>
    <x v="2"/>
    <n v="0"/>
    <x v="2"/>
    <x v="99"/>
    <x v="117"/>
    <n v="0"/>
    <x v="15"/>
    <n v="0"/>
    <x v="3"/>
    <n v="20"/>
  </r>
  <r>
    <x v="1"/>
    <x v="1"/>
    <s v="B"/>
    <x v="52"/>
    <x v="1"/>
    <n v="1580"/>
    <x v="1"/>
    <n v="0"/>
    <x v="1"/>
    <n v="0"/>
    <x v="1"/>
    <x v="86"/>
    <x v="1"/>
    <n v="0"/>
    <x v="1"/>
    <n v="0"/>
    <x v="1"/>
    <m/>
  </r>
  <r>
    <x v="1"/>
    <x v="1"/>
    <s v="C"/>
    <x v="52"/>
    <x v="1"/>
    <n v="1580"/>
    <x v="1"/>
    <n v="0"/>
    <x v="1"/>
    <n v="0"/>
    <x v="1"/>
    <x v="99"/>
    <x v="1"/>
    <n v="0"/>
    <x v="1"/>
    <n v="0"/>
    <x v="1"/>
    <m/>
  </r>
  <r>
    <x v="1"/>
    <x v="202"/>
    <s v="A"/>
    <x v="44"/>
    <x v="63"/>
    <n v="1584"/>
    <x v="92"/>
    <n v="0"/>
    <x v="2"/>
    <n v="0"/>
    <x v="2"/>
    <x v="99"/>
    <x v="119"/>
    <n v="0"/>
    <x v="15"/>
    <n v="0"/>
    <x v="3"/>
    <n v="16"/>
  </r>
  <r>
    <x v="1"/>
    <x v="1"/>
    <s v="B"/>
    <x v="53"/>
    <x v="1"/>
    <n v="1800"/>
    <x v="1"/>
    <n v="0"/>
    <x v="1"/>
    <n v="0"/>
    <x v="1"/>
    <x v="99"/>
    <x v="1"/>
    <n v="0"/>
    <x v="1"/>
    <n v="0"/>
    <x v="1"/>
    <m/>
  </r>
  <r>
    <x v="1"/>
    <x v="1"/>
    <s v="C"/>
    <x v="52"/>
    <x v="1"/>
    <n v="1584"/>
    <x v="1"/>
    <n v="0"/>
    <x v="1"/>
    <n v="0"/>
    <x v="1"/>
    <x v="99"/>
    <x v="1"/>
    <n v="0"/>
    <x v="1"/>
    <n v="0"/>
    <x v="1"/>
    <m/>
  </r>
  <r>
    <x v="1"/>
    <x v="203"/>
    <s v="A"/>
    <x v="44"/>
    <x v="49"/>
    <n v="1392"/>
    <x v="93"/>
    <n v="0"/>
    <x v="2"/>
    <n v="0"/>
    <x v="2"/>
    <x v="99"/>
    <x v="119"/>
    <n v="0"/>
    <x v="15"/>
    <n v="0"/>
    <x v="3"/>
    <n v="15"/>
  </r>
  <r>
    <x v="1"/>
    <x v="1"/>
    <s v="B"/>
    <x v="22"/>
    <x v="1"/>
    <n v="672"/>
    <x v="1"/>
    <n v="0"/>
    <x v="1"/>
    <n v="0"/>
    <x v="1"/>
    <x v="99"/>
    <x v="1"/>
    <n v="0"/>
    <x v="1"/>
    <n v="0"/>
    <x v="1"/>
    <m/>
  </r>
  <r>
    <x v="1"/>
    <x v="1"/>
    <s v="C"/>
    <x v="23"/>
    <x v="1"/>
    <n v="672"/>
    <x v="1"/>
    <n v="0"/>
    <x v="1"/>
    <n v="0"/>
    <x v="1"/>
    <x v="99"/>
    <x v="1"/>
    <n v="0"/>
    <x v="1"/>
    <n v="0"/>
    <x v="1"/>
    <m/>
  </r>
  <r>
    <x v="1"/>
    <x v="204"/>
    <s v="A"/>
    <x v="49"/>
    <x v="90"/>
    <n v="672"/>
    <x v="94"/>
    <n v="0"/>
    <x v="2"/>
    <n v="0"/>
    <x v="2"/>
    <x v="105"/>
    <x v="124"/>
    <n v="0"/>
    <x v="15"/>
    <n v="0"/>
    <x v="3"/>
    <n v="12"/>
  </r>
  <r>
    <x v="1"/>
    <x v="1"/>
    <s v="B"/>
    <x v="13"/>
    <x v="1"/>
    <n v="384"/>
    <x v="1"/>
    <n v="0"/>
    <x v="1"/>
    <n v="0"/>
    <x v="1"/>
    <x v="106"/>
    <x v="1"/>
    <n v="0"/>
    <x v="1"/>
    <n v="0"/>
    <x v="1"/>
    <m/>
  </r>
  <r>
    <x v="1"/>
    <x v="1"/>
    <s v="C"/>
    <x v="54"/>
    <x v="1"/>
    <n v="672"/>
    <x v="1"/>
    <n v="0"/>
    <x v="1"/>
    <n v="0"/>
    <x v="1"/>
    <x v="106"/>
    <x v="1"/>
    <n v="0"/>
    <x v="1"/>
    <n v="0"/>
    <x v="1"/>
    <m/>
  </r>
  <r>
    <x v="1"/>
    <x v="205"/>
    <s v="A"/>
    <x v="55"/>
    <x v="54"/>
    <n v="480"/>
    <x v="95"/>
    <n v="0"/>
    <x v="2"/>
    <n v="0"/>
    <x v="2"/>
    <x v="99"/>
    <x v="119"/>
    <n v="0"/>
    <x v="15"/>
    <n v="0"/>
    <x v="3"/>
    <m/>
  </r>
  <r>
    <x v="1"/>
    <x v="1"/>
    <s v="B"/>
    <x v="55"/>
    <x v="1"/>
    <n v="700"/>
    <x v="1"/>
    <n v="0"/>
    <x v="1"/>
    <n v="0"/>
    <x v="1"/>
    <x v="99"/>
    <x v="1"/>
    <n v="0"/>
    <x v="1"/>
    <n v="0"/>
    <x v="1"/>
    <m/>
  </r>
  <r>
    <x v="1"/>
    <x v="1"/>
    <s v="C"/>
    <x v="54"/>
    <x v="1"/>
    <n v="540"/>
    <x v="1"/>
    <n v="0"/>
    <x v="1"/>
    <n v="0"/>
    <x v="1"/>
    <x v="99"/>
    <x v="1"/>
    <n v="0"/>
    <x v="1"/>
    <n v="0"/>
    <x v="1"/>
    <m/>
  </r>
  <r>
    <x v="1"/>
    <x v="206"/>
    <s v="A"/>
    <x v="56"/>
    <x v="91"/>
    <n v="384"/>
    <x v="96"/>
    <n v="0"/>
    <x v="2"/>
    <n v="0"/>
    <x v="2"/>
    <x v="99"/>
    <x v="119"/>
    <n v="0"/>
    <x v="15"/>
    <n v="0"/>
    <x v="3"/>
    <m/>
  </r>
  <r>
    <x v="1"/>
    <x v="1"/>
    <s v="B"/>
    <x v="56"/>
    <x v="1"/>
    <n v="384"/>
    <x v="1"/>
    <n v="0"/>
    <x v="1"/>
    <n v="0"/>
    <x v="1"/>
    <x v="99"/>
    <x v="1"/>
    <n v="0"/>
    <x v="1"/>
    <n v="0"/>
    <x v="1"/>
    <m/>
  </r>
  <r>
    <x v="1"/>
    <x v="1"/>
    <s v="C"/>
    <x v="11"/>
    <x v="1"/>
    <n v="384"/>
    <x v="1"/>
    <n v="0"/>
    <x v="1"/>
    <n v="0"/>
    <x v="1"/>
    <x v="99"/>
    <x v="1"/>
    <n v="0"/>
    <x v="1"/>
    <n v="0"/>
    <x v="1"/>
    <m/>
  </r>
  <r>
    <x v="1"/>
    <x v="207"/>
    <s v="A"/>
    <x v="14"/>
    <x v="20"/>
    <n v="384"/>
    <x v="96"/>
    <n v="0"/>
    <x v="2"/>
    <n v="0"/>
    <x v="2"/>
    <x v="99"/>
    <x v="119"/>
    <n v="0"/>
    <x v="15"/>
    <n v="0"/>
    <x v="3"/>
    <n v="17"/>
  </r>
  <r>
    <x v="1"/>
    <x v="1"/>
    <s v="B"/>
    <x v="13"/>
    <x v="1"/>
    <n v="384"/>
    <x v="1"/>
    <n v="0"/>
    <x v="1"/>
    <n v="0"/>
    <x v="1"/>
    <x v="99"/>
    <x v="1"/>
    <n v="0"/>
    <x v="1"/>
    <n v="0"/>
    <x v="1"/>
    <m/>
  </r>
  <r>
    <x v="1"/>
    <x v="1"/>
    <s v="C"/>
    <x v="56"/>
    <x v="1"/>
    <n v="384"/>
    <x v="1"/>
    <n v="0"/>
    <x v="1"/>
    <n v="0"/>
    <x v="1"/>
    <x v="99"/>
    <x v="1"/>
    <n v="0"/>
    <x v="1"/>
    <n v="0"/>
    <x v="1"/>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293152"/>
  </r>
  <r>
    <x v="1"/>
    <n v="609976"/>
  </r>
  <r>
    <x v="2"/>
    <n v="73750"/>
  </r>
  <r>
    <x v="3"/>
    <n v="280581"/>
  </r>
  <r>
    <x v="4"/>
    <n v="139593"/>
  </r>
  <r>
    <x v="5"/>
    <n v="96050"/>
  </r>
  <r>
    <x v="6"/>
    <n v="224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D52539-9E93-40B0-A3BF-B810EEE5990D}" name="PivotTable3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H43" firstHeaderRow="0" firstDataRow="1" firstDataCol="1"/>
  <pivotFields count="20">
    <pivotField showAll="0">
      <items count="9">
        <item x="0"/>
        <item x="2"/>
        <item x="5"/>
        <item x="6"/>
        <item x="7"/>
        <item x="3"/>
        <item x="4"/>
        <item x="1"/>
        <item t="default"/>
      </items>
    </pivotField>
    <pivotField showAll="0">
      <items count="209">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1"/>
        <item t="default"/>
      </items>
    </pivotField>
    <pivotField showAll="0"/>
    <pivotField showAll="0"/>
    <pivotField dataField="1" showAll="0"/>
    <pivotField showAll="0"/>
    <pivotField axis="axisRow" dataField="1" showAll="0">
      <items count="98">
        <item x="2"/>
        <item x="3"/>
        <item x="5"/>
        <item x="4"/>
        <item x="96"/>
        <item x="33"/>
        <item x="28"/>
        <item x="95"/>
        <item x="94"/>
        <item x="70"/>
        <item x="24"/>
        <item x="71"/>
        <item x="68"/>
        <item x="69"/>
        <item x="93"/>
        <item x="54"/>
        <item x="23"/>
        <item x="19"/>
        <item x="6"/>
        <item x="53"/>
        <item x="25"/>
        <item x="57"/>
        <item x="87"/>
        <item x="89"/>
        <item x="83"/>
        <item x="88"/>
        <item x="90"/>
        <item x="65"/>
        <item x="34"/>
        <item x="81"/>
        <item x="21"/>
        <item x="82"/>
        <item x="12"/>
        <item x="56"/>
        <item x="84"/>
        <item x="64"/>
        <item x="32"/>
        <item x="91"/>
        <item x="73"/>
        <item x="10"/>
        <item x="92"/>
        <item x="22"/>
        <item x="49"/>
        <item x="85"/>
        <item x="48"/>
        <item x="58"/>
        <item x="47"/>
        <item x="29"/>
        <item x="86"/>
        <item x="67"/>
        <item x="30"/>
        <item x="35"/>
        <item x="38"/>
        <item x="27"/>
        <item x="52"/>
        <item x="75"/>
        <item x="8"/>
        <item x="43"/>
        <item x="51"/>
        <item x="41"/>
        <item x="80"/>
        <item x="17"/>
        <item x="7"/>
        <item x="13"/>
        <item x="72"/>
        <item x="42"/>
        <item x="44"/>
        <item x="36"/>
        <item x="37"/>
        <item x="15"/>
        <item x="55"/>
        <item x="79"/>
        <item x="9"/>
        <item x="76"/>
        <item x="50"/>
        <item x="40"/>
        <item x="11"/>
        <item x="78"/>
        <item x="74"/>
        <item x="77"/>
        <item x="66"/>
        <item x="63"/>
        <item x="20"/>
        <item x="45"/>
        <item x="26"/>
        <item x="62"/>
        <item x="31"/>
        <item x="46"/>
        <item x="60"/>
        <item x="61"/>
        <item x="18"/>
        <item x="14"/>
        <item x="59"/>
        <item x="39"/>
        <item x="16"/>
        <item sd="0" x="0"/>
        <item x="1"/>
        <item t="default"/>
      </items>
    </pivotField>
    <pivotField showAll="0"/>
    <pivotField axis="axisRow" dataField="1" showAll="0">
      <items count="35">
        <item x="2"/>
        <item x="9"/>
        <item x="8"/>
        <item x="29"/>
        <item x="20"/>
        <item x="10"/>
        <item x="30"/>
        <item x="33"/>
        <item x="7"/>
        <item x="21"/>
        <item x="19"/>
        <item x="12"/>
        <item x="22"/>
        <item x="23"/>
        <item x="13"/>
        <item x="11"/>
        <item x="6"/>
        <item x="18"/>
        <item x="17"/>
        <item x="3"/>
        <item x="16"/>
        <item x="14"/>
        <item x="15"/>
        <item x="4"/>
        <item x="32"/>
        <item x="5"/>
        <item x="28"/>
        <item x="31"/>
        <item x="25"/>
        <item x="26"/>
        <item x="24"/>
        <item x="27"/>
        <item x="0"/>
        <item x="1"/>
        <item t="default"/>
      </items>
    </pivotField>
    <pivotField showAll="0"/>
    <pivotField axis="axisRow" dataField="1" showAll="0">
      <items count="75">
        <item x="2"/>
        <item x="4"/>
        <item x="70"/>
        <item x="3"/>
        <item x="5"/>
        <item x="36"/>
        <item x="17"/>
        <item x="6"/>
        <item x="7"/>
        <item x="47"/>
        <item x="15"/>
        <item x="18"/>
        <item x="9"/>
        <item x="14"/>
        <item x="13"/>
        <item x="16"/>
        <item x="8"/>
        <item x="10"/>
        <item x="11"/>
        <item x="20"/>
        <item x="19"/>
        <item x="12"/>
        <item x="66"/>
        <item x="21"/>
        <item x="22"/>
        <item x="23"/>
        <item x="60"/>
        <item x="45"/>
        <item x="62"/>
        <item x="51"/>
        <item x="53"/>
        <item x="67"/>
        <item x="57"/>
        <item x="44"/>
        <item x="35"/>
        <item x="58"/>
        <item x="46"/>
        <item x="59"/>
        <item x="61"/>
        <item x="54"/>
        <item x="65"/>
        <item x="49"/>
        <item x="72"/>
        <item x="71"/>
        <item x="68"/>
        <item x="25"/>
        <item x="27"/>
        <item x="48"/>
        <item x="41"/>
        <item x="69"/>
        <item x="56"/>
        <item x="24"/>
        <item x="26"/>
        <item x="29"/>
        <item x="30"/>
        <item x="55"/>
        <item x="32"/>
        <item x="37"/>
        <item x="28"/>
        <item x="73"/>
        <item x="63"/>
        <item x="50"/>
        <item x="42"/>
        <item x="34"/>
        <item x="64"/>
        <item x="39"/>
        <item x="33"/>
        <item x="31"/>
        <item x="43"/>
        <item x="38"/>
        <item x="40"/>
        <item x="52"/>
        <item x="0"/>
        <item x="1"/>
        <item t="default"/>
      </items>
    </pivotField>
    <pivotField showAll="0"/>
    <pivotField axis="axisRow" dataField="1" showAll="0">
      <items count="126">
        <item x="124"/>
        <item x="120"/>
        <item x="123"/>
        <item x="122"/>
        <item x="105"/>
        <item x="116"/>
        <item x="121"/>
        <item x="119"/>
        <item x="104"/>
        <item x="108"/>
        <item x="97"/>
        <item x="117"/>
        <item x="118"/>
        <item x="106"/>
        <item x="107"/>
        <item x="109"/>
        <item x="113"/>
        <item x="110"/>
        <item x="114"/>
        <item x="93"/>
        <item x="94"/>
        <item x="115"/>
        <item x="111"/>
        <item x="112"/>
        <item x="95"/>
        <item x="98"/>
        <item x="96"/>
        <item x="91"/>
        <item x="92"/>
        <item x="90"/>
        <item x="101"/>
        <item x="89"/>
        <item x="100"/>
        <item x="99"/>
        <item x="11"/>
        <item x="103"/>
        <item x="12"/>
        <item x="38"/>
        <item x="9"/>
        <item x="87"/>
        <item x="102"/>
        <item x="88"/>
        <item x="85"/>
        <item x="66"/>
        <item x="86"/>
        <item x="8"/>
        <item x="62"/>
        <item x="13"/>
        <item x="83"/>
        <item x="15"/>
        <item x="82"/>
        <item x="16"/>
        <item x="14"/>
        <item x="79"/>
        <item x="6"/>
        <item x="81"/>
        <item x="18"/>
        <item x="17"/>
        <item x="58"/>
        <item x="10"/>
        <item x="80"/>
        <item x="7"/>
        <item x="40"/>
        <item x="57"/>
        <item x="5"/>
        <item x="56"/>
        <item x="63"/>
        <item x="78"/>
        <item x="20"/>
        <item x="70"/>
        <item x="41"/>
        <item x="77"/>
        <item x="39"/>
        <item x="2"/>
        <item x="51"/>
        <item x="22"/>
        <item x="32"/>
        <item x="34"/>
        <item x="4"/>
        <item x="67"/>
        <item x="55"/>
        <item x="19"/>
        <item x="64"/>
        <item x="35"/>
        <item x="31"/>
        <item x="84"/>
        <item x="65"/>
        <item x="3"/>
        <item x="33"/>
        <item x="21"/>
        <item x="54"/>
        <item x="42"/>
        <item x="53"/>
        <item x="52"/>
        <item x="50"/>
        <item x="43"/>
        <item x="75"/>
        <item x="23"/>
        <item x="48"/>
        <item x="37"/>
        <item x="30"/>
        <item x="76"/>
        <item x="72"/>
        <item x="44"/>
        <item x="71"/>
        <item x="73"/>
        <item x="27"/>
        <item x="36"/>
        <item x="26"/>
        <item x="69"/>
        <item x="24"/>
        <item x="74"/>
        <item x="28"/>
        <item x="29"/>
        <item x="49"/>
        <item x="25"/>
        <item x="47"/>
        <item x="68"/>
        <item x="46"/>
        <item x="45"/>
        <item x="60"/>
        <item x="59"/>
        <item x="61"/>
        <item x="0"/>
        <item x="1"/>
        <item t="default"/>
      </items>
    </pivotField>
    <pivotField showAll="0"/>
    <pivotField axis="axisRow" dataField="1" showAll="0">
      <items count="40">
        <item x="15"/>
        <item x="31"/>
        <item x="38"/>
        <item x="18"/>
        <item x="11"/>
        <item x="25"/>
        <item x="23"/>
        <item x="13"/>
        <item x="24"/>
        <item x="26"/>
        <item x="12"/>
        <item x="7"/>
        <item x="22"/>
        <item x="10"/>
        <item x="14"/>
        <item x="17"/>
        <item x="8"/>
        <item x="16"/>
        <item x="9"/>
        <item x="4"/>
        <item x="6"/>
        <item x="21"/>
        <item x="5"/>
        <item x="20"/>
        <item x="30"/>
        <item x="36"/>
        <item x="19"/>
        <item x="34"/>
        <item x="29"/>
        <item x="37"/>
        <item x="3"/>
        <item x="2"/>
        <item x="28"/>
        <item x="35"/>
        <item x="27"/>
        <item x="33"/>
        <item x="32"/>
        <item x="0"/>
        <item x="1"/>
        <item t="default"/>
      </items>
    </pivotField>
    <pivotField showAll="0"/>
    <pivotField axis="axisRow" dataField="1" showAll="0">
      <items count="31">
        <item x="3"/>
        <item x="6"/>
        <item x="7"/>
        <item x="22"/>
        <item x="5"/>
        <item x="27"/>
        <item x="8"/>
        <item x="13"/>
        <item x="29"/>
        <item x="9"/>
        <item x="12"/>
        <item x="2"/>
        <item x="4"/>
        <item x="21"/>
        <item x="10"/>
        <item x="19"/>
        <item x="14"/>
        <item x="11"/>
        <item x="20"/>
        <item x="15"/>
        <item x="28"/>
        <item x="23"/>
        <item x="17"/>
        <item x="18"/>
        <item x="26"/>
        <item x="16"/>
        <item x="25"/>
        <item x="24"/>
        <item x="0"/>
        <item x="1"/>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1"/>
        <item sd="0" x="2"/>
        <item sd="0" x="3"/>
        <item sd="0" x="4"/>
        <item sd="0" x="5"/>
        <item sd="0" x="6"/>
        <item sd="0" x="7"/>
        <item sd="0" x="8"/>
        <item sd="0" x="9"/>
        <item sd="0" x="10"/>
        <item sd="0" x="11"/>
        <item sd="0" x="12"/>
        <item h="1" sd="0" x="0"/>
        <item h="1" sd="0" x="13"/>
        <item t="default"/>
      </items>
    </pivotField>
  </pivotFields>
  <rowFields count="8">
    <field x="19"/>
    <field x="6"/>
    <field x="8"/>
    <field x="10"/>
    <field x="12"/>
    <field x="14"/>
    <field x="16"/>
    <field x="18"/>
  </rowFields>
  <rowItems count="8">
    <i>
      <x v="3"/>
    </i>
    <i>
      <x v="4"/>
    </i>
    <i>
      <x v="5"/>
    </i>
    <i>
      <x v="6"/>
    </i>
    <i>
      <x v="7"/>
    </i>
    <i>
      <x v="8"/>
    </i>
    <i>
      <x v="9"/>
    </i>
    <i t="grand">
      <x/>
    </i>
  </rowItems>
  <colFields count="1">
    <field x="-2"/>
  </colFields>
  <colItems count="7">
    <i>
      <x/>
    </i>
    <i i="1">
      <x v="1"/>
    </i>
    <i i="2">
      <x v="2"/>
    </i>
    <i i="3">
      <x v="3"/>
    </i>
    <i i="4">
      <x v="4"/>
    </i>
    <i i="5">
      <x v="5"/>
    </i>
    <i i="6">
      <x v="6"/>
    </i>
  </colItems>
  <dataFields count="7">
    <dataField name="Sum of S/Alum (Kg)2" fld="4" baseField="0" baseItem="0"/>
    <dataField name="Sum of L/Alum(Litre)2" fld="6" baseField="0" baseItem="0"/>
    <dataField name="Sum of P/PAC(Kg)2" fld="8" baseField="0" baseItem="0"/>
    <dataField name="Sum of L/PAC(Litre)2" fld="10" baseField="0" baseItem="0"/>
    <dataField name="Sum of Chlorine (Kg)2" fld="12" baseField="0" baseItem="0"/>
    <dataField name="Sum of B/P (Kg)2" fld="14" baseField="0" baseItem="0"/>
    <dataField name="Sum of NaOCl (Litre)2" fld="16"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02059C-8209-42DC-BF52-B336D33BBB0E}" name="PivotTable3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H5" firstHeaderRow="0" firstDataRow="1" firstDataCol="1"/>
  <pivotFields count="20">
    <pivotField showAll="0"/>
    <pivotField showAll="0">
      <items count="209">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1"/>
        <item t="default"/>
      </items>
    </pivotField>
    <pivotField showAll="0"/>
    <pivotField showAll="0"/>
    <pivotField dataField="1" showAll="0">
      <items count="93">
        <item x="62"/>
        <item x="61"/>
        <item x="79"/>
        <item x="59"/>
        <item x="58"/>
        <item x="77"/>
        <item x="56"/>
        <item x="60"/>
        <item x="72"/>
        <item x="76"/>
        <item x="70"/>
        <item x="55"/>
        <item x="71"/>
        <item x="63"/>
        <item x="89"/>
        <item x="43"/>
        <item x="88"/>
        <item x="81"/>
        <item x="42"/>
        <item x="87"/>
        <item x="66"/>
        <item x="57"/>
        <item x="86"/>
        <item x="84"/>
        <item x="85"/>
        <item x="82"/>
        <item x="73"/>
        <item x="64"/>
        <item x="83"/>
        <item x="68"/>
        <item x="75"/>
        <item x="78"/>
        <item x="30"/>
        <item x="29"/>
        <item x="80"/>
        <item x="45"/>
        <item x="74"/>
        <item x="28"/>
        <item x="26"/>
        <item x="49"/>
        <item x="44"/>
        <item x="27"/>
        <item x="48"/>
        <item x="46"/>
        <item x="31"/>
        <item x="47"/>
        <item x="67"/>
        <item x="25"/>
        <item x="69"/>
        <item x="54"/>
        <item x="51"/>
        <item x="65"/>
        <item x="39"/>
        <item x="32"/>
        <item x="13"/>
        <item x="50"/>
        <item x="90"/>
        <item x="37"/>
        <item x="24"/>
        <item x="91"/>
        <item x="23"/>
        <item x="20"/>
        <item x="17"/>
        <item x="40"/>
        <item x="52"/>
        <item x="14"/>
        <item x="15"/>
        <item x="7"/>
        <item x="19"/>
        <item x="41"/>
        <item x="16"/>
        <item x="38"/>
        <item x="18"/>
        <item x="21"/>
        <item x="53"/>
        <item x="34"/>
        <item x="33"/>
        <item x="12"/>
        <item x="11"/>
        <item x="0"/>
        <item x="5"/>
        <item x="10"/>
        <item x="2"/>
        <item x="3"/>
        <item x="4"/>
        <item x="9"/>
        <item x="6"/>
        <item x="36"/>
        <item x="8"/>
        <item x="35"/>
        <item x="22"/>
        <item x="1"/>
        <item t="default"/>
      </items>
    </pivotField>
    <pivotField showAll="0"/>
    <pivotField dataField="1" showAll="0">
      <items count="98">
        <item x="2"/>
        <item x="3"/>
        <item x="5"/>
        <item x="4"/>
        <item x="96"/>
        <item x="33"/>
        <item x="28"/>
        <item x="95"/>
        <item x="94"/>
        <item x="70"/>
        <item x="24"/>
        <item x="71"/>
        <item x="68"/>
        <item x="69"/>
        <item x="93"/>
        <item x="54"/>
        <item x="23"/>
        <item x="19"/>
        <item x="6"/>
        <item x="53"/>
        <item x="25"/>
        <item x="57"/>
        <item x="87"/>
        <item x="89"/>
        <item x="83"/>
        <item x="88"/>
        <item x="90"/>
        <item x="65"/>
        <item x="34"/>
        <item x="81"/>
        <item x="21"/>
        <item x="82"/>
        <item x="12"/>
        <item x="56"/>
        <item x="84"/>
        <item x="64"/>
        <item x="32"/>
        <item x="91"/>
        <item x="73"/>
        <item x="10"/>
        <item x="92"/>
        <item x="22"/>
        <item x="49"/>
        <item x="85"/>
        <item x="48"/>
        <item x="58"/>
        <item x="47"/>
        <item x="29"/>
        <item x="86"/>
        <item x="67"/>
        <item x="30"/>
        <item x="35"/>
        <item x="38"/>
        <item x="27"/>
        <item x="52"/>
        <item x="75"/>
        <item x="8"/>
        <item x="43"/>
        <item x="51"/>
        <item x="41"/>
        <item x="80"/>
        <item x="17"/>
        <item x="7"/>
        <item x="13"/>
        <item x="72"/>
        <item x="42"/>
        <item x="44"/>
        <item x="36"/>
        <item x="37"/>
        <item x="15"/>
        <item x="55"/>
        <item x="79"/>
        <item x="9"/>
        <item x="76"/>
        <item x="50"/>
        <item x="40"/>
        <item x="11"/>
        <item x="78"/>
        <item x="74"/>
        <item x="77"/>
        <item x="66"/>
        <item x="63"/>
        <item x="20"/>
        <item x="45"/>
        <item x="26"/>
        <item x="62"/>
        <item x="31"/>
        <item x="46"/>
        <item x="60"/>
        <item x="61"/>
        <item x="18"/>
        <item x="14"/>
        <item x="59"/>
        <item x="39"/>
        <item x="16"/>
        <item x="0"/>
        <item x="1"/>
        <item t="default"/>
      </items>
    </pivotField>
    <pivotField showAll="0"/>
    <pivotField dataField="1" showAll="0">
      <items count="35">
        <item x="2"/>
        <item x="9"/>
        <item x="8"/>
        <item x="29"/>
        <item x="20"/>
        <item x="10"/>
        <item x="30"/>
        <item x="33"/>
        <item x="7"/>
        <item x="21"/>
        <item x="19"/>
        <item x="12"/>
        <item x="22"/>
        <item x="23"/>
        <item x="13"/>
        <item x="11"/>
        <item x="6"/>
        <item x="18"/>
        <item x="17"/>
        <item x="3"/>
        <item x="16"/>
        <item x="14"/>
        <item x="15"/>
        <item x="4"/>
        <item x="32"/>
        <item x="5"/>
        <item x="28"/>
        <item x="31"/>
        <item x="25"/>
        <item x="26"/>
        <item x="24"/>
        <item x="27"/>
        <item x="0"/>
        <item x="1"/>
        <item t="default"/>
      </items>
    </pivotField>
    <pivotField showAll="0"/>
    <pivotField dataField="1" showAll="0">
      <items count="75">
        <item x="2"/>
        <item x="4"/>
        <item x="70"/>
        <item x="3"/>
        <item x="5"/>
        <item x="36"/>
        <item x="17"/>
        <item x="6"/>
        <item x="7"/>
        <item x="47"/>
        <item x="15"/>
        <item x="18"/>
        <item x="9"/>
        <item x="14"/>
        <item x="13"/>
        <item x="16"/>
        <item x="8"/>
        <item x="10"/>
        <item x="11"/>
        <item x="20"/>
        <item x="19"/>
        <item x="12"/>
        <item x="66"/>
        <item x="21"/>
        <item x="22"/>
        <item x="23"/>
        <item x="60"/>
        <item x="45"/>
        <item x="62"/>
        <item x="51"/>
        <item x="53"/>
        <item x="67"/>
        <item x="57"/>
        <item x="44"/>
        <item x="35"/>
        <item x="58"/>
        <item x="46"/>
        <item x="59"/>
        <item x="61"/>
        <item x="54"/>
        <item x="65"/>
        <item x="49"/>
        <item x="72"/>
        <item x="71"/>
        <item x="68"/>
        <item x="25"/>
        <item x="27"/>
        <item x="48"/>
        <item x="41"/>
        <item x="69"/>
        <item x="56"/>
        <item x="24"/>
        <item x="26"/>
        <item x="29"/>
        <item x="30"/>
        <item x="55"/>
        <item x="32"/>
        <item x="37"/>
        <item x="28"/>
        <item x="73"/>
        <item x="63"/>
        <item x="50"/>
        <item x="42"/>
        <item x="34"/>
        <item x="64"/>
        <item x="39"/>
        <item x="33"/>
        <item x="31"/>
        <item x="43"/>
        <item x="38"/>
        <item x="40"/>
        <item x="52"/>
        <item x="0"/>
        <item x="1"/>
        <item t="default"/>
      </items>
    </pivotField>
    <pivotField showAll="0"/>
    <pivotField dataField="1" showAll="0">
      <items count="126">
        <item x="124"/>
        <item x="120"/>
        <item x="123"/>
        <item x="122"/>
        <item x="105"/>
        <item x="116"/>
        <item x="121"/>
        <item x="119"/>
        <item x="104"/>
        <item x="108"/>
        <item x="97"/>
        <item x="117"/>
        <item x="118"/>
        <item x="106"/>
        <item x="107"/>
        <item x="109"/>
        <item x="113"/>
        <item x="110"/>
        <item x="114"/>
        <item x="93"/>
        <item x="94"/>
        <item x="115"/>
        <item x="111"/>
        <item x="112"/>
        <item x="95"/>
        <item x="98"/>
        <item x="96"/>
        <item x="91"/>
        <item x="92"/>
        <item x="90"/>
        <item x="101"/>
        <item x="89"/>
        <item x="100"/>
        <item x="99"/>
        <item x="11"/>
        <item x="103"/>
        <item x="12"/>
        <item x="38"/>
        <item x="9"/>
        <item x="87"/>
        <item x="102"/>
        <item x="88"/>
        <item x="85"/>
        <item x="66"/>
        <item x="86"/>
        <item x="8"/>
        <item x="62"/>
        <item x="13"/>
        <item x="83"/>
        <item x="15"/>
        <item x="82"/>
        <item x="16"/>
        <item x="14"/>
        <item x="79"/>
        <item x="6"/>
        <item x="81"/>
        <item x="18"/>
        <item x="17"/>
        <item x="58"/>
        <item x="10"/>
        <item x="80"/>
        <item x="7"/>
        <item x="40"/>
        <item x="57"/>
        <item x="5"/>
        <item x="56"/>
        <item x="63"/>
        <item x="78"/>
        <item x="20"/>
        <item x="70"/>
        <item x="41"/>
        <item x="77"/>
        <item x="39"/>
        <item x="2"/>
        <item x="51"/>
        <item x="22"/>
        <item x="32"/>
        <item x="34"/>
        <item x="4"/>
        <item x="67"/>
        <item x="55"/>
        <item x="19"/>
        <item x="64"/>
        <item x="35"/>
        <item x="31"/>
        <item x="84"/>
        <item x="65"/>
        <item x="3"/>
        <item x="33"/>
        <item x="21"/>
        <item x="54"/>
        <item x="42"/>
        <item x="53"/>
        <item x="52"/>
        <item x="50"/>
        <item x="43"/>
        <item x="75"/>
        <item x="23"/>
        <item x="48"/>
        <item x="37"/>
        <item x="30"/>
        <item x="76"/>
        <item x="72"/>
        <item x="44"/>
        <item x="71"/>
        <item x="73"/>
        <item x="27"/>
        <item x="36"/>
        <item x="26"/>
        <item x="69"/>
        <item x="24"/>
        <item x="74"/>
        <item x="28"/>
        <item x="29"/>
        <item x="49"/>
        <item x="25"/>
        <item x="47"/>
        <item x="68"/>
        <item x="46"/>
        <item x="45"/>
        <item x="60"/>
        <item x="59"/>
        <item x="61"/>
        <item x="0"/>
        <item x="1"/>
        <item t="default"/>
      </items>
    </pivotField>
    <pivotField showAll="0"/>
    <pivotField dataField="1" showAll="0">
      <items count="40">
        <item x="15"/>
        <item x="31"/>
        <item x="38"/>
        <item x="18"/>
        <item x="11"/>
        <item x="25"/>
        <item x="23"/>
        <item x="13"/>
        <item x="24"/>
        <item x="26"/>
        <item x="12"/>
        <item x="7"/>
        <item x="22"/>
        <item x="10"/>
        <item x="14"/>
        <item x="17"/>
        <item x="8"/>
        <item x="16"/>
        <item x="9"/>
        <item x="4"/>
        <item x="6"/>
        <item x="21"/>
        <item x="5"/>
        <item x="20"/>
        <item x="30"/>
        <item x="36"/>
        <item x="19"/>
        <item x="34"/>
        <item x="29"/>
        <item x="37"/>
        <item x="3"/>
        <item x="2"/>
        <item x="28"/>
        <item x="35"/>
        <item x="27"/>
        <item x="33"/>
        <item x="32"/>
        <item x="0"/>
        <item x="1"/>
        <item t="default"/>
      </items>
    </pivotField>
    <pivotField showAll="0"/>
    <pivotField dataField="1" showAll="0">
      <items count="31">
        <item x="3"/>
        <item x="6"/>
        <item x="7"/>
        <item x="22"/>
        <item x="5"/>
        <item x="27"/>
        <item x="8"/>
        <item x="13"/>
        <item x="29"/>
        <item x="9"/>
        <item x="12"/>
        <item x="2"/>
        <item x="4"/>
        <item x="21"/>
        <item x="10"/>
        <item x="19"/>
        <item x="14"/>
        <item x="11"/>
        <item x="20"/>
        <item x="15"/>
        <item x="28"/>
        <item x="23"/>
        <item x="17"/>
        <item x="18"/>
        <item x="26"/>
        <item x="16"/>
        <item x="25"/>
        <item x="24"/>
        <item x="0"/>
        <item x="1"/>
        <item t="default"/>
      </items>
    </pivotField>
    <pivotField showAll="0"/>
    <pivotField showAll="0" defaultSubtotal="0"/>
    <pivotField axis="axisRow" showAll="0" defaultSubtotal="0">
      <items count="14">
        <item h="1" x="0"/>
        <item h="1" x="1"/>
        <item h="1" x="2"/>
        <item h="1" x="3"/>
        <item h="1" x="4"/>
        <item h="1" x="5"/>
        <item h="1" x="6"/>
        <item x="7"/>
        <item h="1" x="8"/>
        <item h="1" x="9"/>
        <item h="1" x="10"/>
        <item h="1" x="11"/>
        <item h="1" x="12"/>
        <item h="1" x="13"/>
      </items>
    </pivotField>
  </pivotFields>
  <rowFields count="1">
    <field x="19"/>
  </rowFields>
  <rowItems count="2">
    <i>
      <x v="7"/>
    </i>
    <i t="grand">
      <x/>
    </i>
  </rowItems>
  <colFields count="1">
    <field x="-2"/>
  </colFields>
  <colItems count="7">
    <i>
      <x/>
    </i>
    <i i="1">
      <x v="1"/>
    </i>
    <i i="2">
      <x v="2"/>
    </i>
    <i i="3">
      <x v="3"/>
    </i>
    <i i="4">
      <x v="4"/>
    </i>
    <i i="5">
      <x v="5"/>
    </i>
    <i i="6">
      <x v="6"/>
    </i>
  </colItems>
  <dataFields count="7">
    <dataField name="Sum of S/Alum (Kg)2" fld="4" baseField="0" baseItem="0"/>
    <dataField name="Sum of L/Alum(Litre)2" fld="6" baseField="0" baseItem="0"/>
    <dataField name="Sum of P/PAC(Kg)2" fld="8" baseField="0" baseItem="0"/>
    <dataField name="Sum of L/PAC(Litre)2" fld="10" baseField="0" baseItem="0"/>
    <dataField name="Sum of Chlorine (Kg)2" fld="12" baseField="0" baseItem="0"/>
    <dataField name="Sum of B/P (Kg)2" fld="14" baseField="0" baseItem="0"/>
    <dataField name="Sum of NaOCl (Litre)2" fld="16" baseField="0" baseItem="0"/>
  </dataFields>
  <chartFormats count="14">
    <chartFormat chart="9" format="14"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1"/>
          </reference>
        </references>
      </pivotArea>
    </chartFormat>
    <chartFormat chart="9" format="16" series="1">
      <pivotArea type="data" outline="0" fieldPosition="0">
        <references count="1">
          <reference field="4294967294" count="1" selected="0">
            <x v="2"/>
          </reference>
        </references>
      </pivotArea>
    </chartFormat>
    <chartFormat chart="9" format="17" series="1">
      <pivotArea type="data" outline="0" fieldPosition="0">
        <references count="1">
          <reference field="4294967294" count="1" selected="0">
            <x v="3"/>
          </reference>
        </references>
      </pivotArea>
    </chartFormat>
    <chartFormat chart="9" format="18" series="1">
      <pivotArea type="data" outline="0" fieldPosition="0">
        <references count="1">
          <reference field="4294967294" count="1" selected="0">
            <x v="4"/>
          </reference>
        </references>
      </pivotArea>
    </chartFormat>
    <chartFormat chart="9" format="19" series="1">
      <pivotArea type="data" outline="0" fieldPosition="0">
        <references count="1">
          <reference field="4294967294" count="1" selected="0">
            <x v="5"/>
          </reference>
        </references>
      </pivotArea>
    </chartFormat>
    <chartFormat chart="9" format="20" series="1">
      <pivotArea type="data" outline="0" fieldPosition="0">
        <references count="1">
          <reference field="4294967294" count="1" selected="0">
            <x v="6"/>
          </reference>
        </references>
      </pivotArea>
    </chartFormat>
    <chartFormat chart="20" format="28" series="1">
      <pivotArea type="data" outline="0" fieldPosition="0">
        <references count="1">
          <reference field="4294967294" count="1" selected="0">
            <x v="0"/>
          </reference>
        </references>
      </pivotArea>
    </chartFormat>
    <chartFormat chart="20" format="29" series="1">
      <pivotArea type="data" outline="0" fieldPosition="0">
        <references count="1">
          <reference field="4294967294" count="1" selected="0">
            <x v="1"/>
          </reference>
        </references>
      </pivotArea>
    </chartFormat>
    <chartFormat chart="20" format="30" series="1">
      <pivotArea type="data" outline="0" fieldPosition="0">
        <references count="1">
          <reference field="4294967294" count="1" selected="0">
            <x v="2"/>
          </reference>
        </references>
      </pivotArea>
    </chartFormat>
    <chartFormat chart="20" format="31" series="1">
      <pivotArea type="data" outline="0" fieldPosition="0">
        <references count="1">
          <reference field="4294967294" count="1" selected="0">
            <x v="3"/>
          </reference>
        </references>
      </pivotArea>
    </chartFormat>
    <chartFormat chart="20" format="32" series="1">
      <pivotArea type="data" outline="0" fieldPosition="0">
        <references count="1">
          <reference field="4294967294" count="1" selected="0">
            <x v="4"/>
          </reference>
        </references>
      </pivotArea>
    </chartFormat>
    <chartFormat chart="20" format="33" series="1">
      <pivotArea type="data" outline="0" fieldPosition="0">
        <references count="1">
          <reference field="4294967294" count="1" selected="0">
            <x v="5"/>
          </reference>
        </references>
      </pivotArea>
    </chartFormat>
    <chartFormat chart="20" format="34"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D35F6B-1033-4C66-9D45-3A8C858E2C5D}" name="PivotTable3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H5" firstHeaderRow="0" firstDataRow="1" firstDataCol="1"/>
  <pivotFields count="20">
    <pivotField showAll="0"/>
    <pivotField axis="axisRow" showAll="0">
      <items count="209">
        <item h="1" x="0"/>
        <item h="1" x="2"/>
        <item h="1" x="3"/>
        <item h="1" x="4"/>
        <item h="1" x="5"/>
        <item h="1" x="6"/>
        <item h="1" x="7"/>
        <item h="1" x="8"/>
        <item h="1" x="9"/>
        <item h="1" x="10"/>
        <item h="1" x="11"/>
        <item h="1" x="12"/>
        <item h="1" x="13"/>
        <item h="1" x="14"/>
        <item h="1" x="15"/>
        <item h="1" x="16"/>
        <item h="1" x="17"/>
        <item h="1" x="18"/>
        <item h="1" x="19"/>
        <item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1"/>
        <item t="default"/>
      </items>
    </pivotField>
    <pivotField showAll="0"/>
    <pivotField showAll="0"/>
    <pivotField dataField="1" showAll="0"/>
    <pivotField showAll="0"/>
    <pivotField dataField="1" showAll="0">
      <items count="98">
        <item x="2"/>
        <item x="3"/>
        <item x="5"/>
        <item x="4"/>
        <item x="96"/>
        <item x="33"/>
        <item x="28"/>
        <item x="95"/>
        <item x="94"/>
        <item x="70"/>
        <item x="24"/>
        <item x="71"/>
        <item x="68"/>
        <item x="69"/>
        <item x="93"/>
        <item x="54"/>
        <item x="23"/>
        <item x="19"/>
        <item x="6"/>
        <item x="53"/>
        <item x="25"/>
        <item x="57"/>
        <item x="87"/>
        <item x="89"/>
        <item x="83"/>
        <item x="88"/>
        <item x="90"/>
        <item x="65"/>
        <item x="34"/>
        <item x="81"/>
        <item x="21"/>
        <item x="82"/>
        <item x="12"/>
        <item x="56"/>
        <item x="84"/>
        <item x="64"/>
        <item x="32"/>
        <item x="91"/>
        <item x="73"/>
        <item x="10"/>
        <item x="92"/>
        <item x="22"/>
        <item x="49"/>
        <item x="85"/>
        <item x="48"/>
        <item x="58"/>
        <item x="47"/>
        <item x="29"/>
        <item x="86"/>
        <item x="67"/>
        <item x="30"/>
        <item x="35"/>
        <item x="38"/>
        <item x="27"/>
        <item x="52"/>
        <item x="75"/>
        <item x="8"/>
        <item x="43"/>
        <item x="51"/>
        <item x="41"/>
        <item x="80"/>
        <item x="17"/>
        <item x="7"/>
        <item x="13"/>
        <item x="72"/>
        <item x="42"/>
        <item x="44"/>
        <item x="36"/>
        <item x="37"/>
        <item x="15"/>
        <item x="55"/>
        <item x="79"/>
        <item x="9"/>
        <item x="76"/>
        <item x="50"/>
        <item x="40"/>
        <item x="11"/>
        <item x="78"/>
        <item x="74"/>
        <item x="77"/>
        <item x="66"/>
        <item x="63"/>
        <item x="20"/>
        <item x="45"/>
        <item x="26"/>
        <item x="62"/>
        <item x="31"/>
        <item x="46"/>
        <item x="60"/>
        <item x="61"/>
        <item x="18"/>
        <item x="14"/>
        <item x="59"/>
        <item x="39"/>
        <item x="16"/>
        <item x="0"/>
        <item x="1"/>
        <item t="default"/>
      </items>
    </pivotField>
    <pivotField showAll="0"/>
    <pivotField dataField="1" showAll="0">
      <items count="35">
        <item x="2"/>
        <item x="9"/>
        <item x="8"/>
        <item x="29"/>
        <item x="20"/>
        <item x="10"/>
        <item x="30"/>
        <item x="33"/>
        <item x="7"/>
        <item x="21"/>
        <item x="19"/>
        <item x="12"/>
        <item x="22"/>
        <item x="23"/>
        <item x="13"/>
        <item x="11"/>
        <item x="6"/>
        <item x="18"/>
        <item x="17"/>
        <item x="3"/>
        <item x="16"/>
        <item x="14"/>
        <item x="15"/>
        <item x="4"/>
        <item x="32"/>
        <item x="5"/>
        <item x="28"/>
        <item x="31"/>
        <item x="25"/>
        <item x="26"/>
        <item x="24"/>
        <item x="27"/>
        <item x="0"/>
        <item x="1"/>
        <item t="default"/>
      </items>
    </pivotField>
    <pivotField showAll="0"/>
    <pivotField dataField="1" showAll="0">
      <items count="75">
        <item x="2"/>
        <item x="4"/>
        <item x="70"/>
        <item x="3"/>
        <item x="5"/>
        <item x="36"/>
        <item x="17"/>
        <item x="6"/>
        <item x="7"/>
        <item x="47"/>
        <item x="15"/>
        <item x="18"/>
        <item x="9"/>
        <item x="14"/>
        <item x="13"/>
        <item x="16"/>
        <item x="8"/>
        <item x="10"/>
        <item x="11"/>
        <item x="20"/>
        <item x="19"/>
        <item x="12"/>
        <item x="66"/>
        <item x="21"/>
        <item x="22"/>
        <item x="23"/>
        <item x="60"/>
        <item x="45"/>
        <item x="62"/>
        <item x="51"/>
        <item x="53"/>
        <item x="67"/>
        <item x="57"/>
        <item x="44"/>
        <item x="35"/>
        <item x="58"/>
        <item x="46"/>
        <item x="59"/>
        <item x="61"/>
        <item x="54"/>
        <item x="65"/>
        <item x="49"/>
        <item x="72"/>
        <item x="71"/>
        <item x="68"/>
        <item x="25"/>
        <item x="27"/>
        <item x="48"/>
        <item x="41"/>
        <item x="69"/>
        <item x="56"/>
        <item x="24"/>
        <item x="26"/>
        <item x="29"/>
        <item x="30"/>
        <item x="55"/>
        <item x="32"/>
        <item x="37"/>
        <item x="28"/>
        <item x="73"/>
        <item x="63"/>
        <item x="50"/>
        <item x="42"/>
        <item x="34"/>
        <item x="64"/>
        <item x="39"/>
        <item x="33"/>
        <item x="31"/>
        <item x="43"/>
        <item x="38"/>
        <item x="40"/>
        <item x="52"/>
        <item x="0"/>
        <item x="1"/>
        <item t="default"/>
      </items>
    </pivotField>
    <pivotField showAll="0">
      <items count="108">
        <item x="94"/>
        <item x="103"/>
        <item x="98"/>
        <item x="105"/>
        <item x="89"/>
        <item x="106"/>
        <item x="93"/>
        <item x="20"/>
        <item x="100"/>
        <item x="104"/>
        <item x="95"/>
        <item x="99"/>
        <item x="102"/>
        <item x="87"/>
        <item x="18"/>
        <item x="97"/>
        <item x="91"/>
        <item x="96"/>
        <item x="86"/>
        <item x="11"/>
        <item x="101"/>
        <item x="14"/>
        <item x="88"/>
        <item x="61"/>
        <item x="44"/>
        <item x="92"/>
        <item x="68"/>
        <item x="85"/>
        <item x="17"/>
        <item x="12"/>
        <item x="39"/>
        <item x="72"/>
        <item x="28"/>
        <item x="19"/>
        <item x="65"/>
        <item x="67"/>
        <item x="62"/>
        <item x="90"/>
        <item x="16"/>
        <item x="27"/>
        <item x="26"/>
        <item x="83"/>
        <item x="21"/>
        <item x="9"/>
        <item x="64"/>
        <item x="8"/>
        <item x="15"/>
        <item x="13"/>
        <item x="82"/>
        <item x="10"/>
        <item x="3"/>
        <item x="22"/>
        <item x="66"/>
        <item x="38"/>
        <item x="7"/>
        <item x="69"/>
        <item x="43"/>
        <item x="6"/>
        <item x="2"/>
        <item x="55"/>
        <item x="23"/>
        <item x="25"/>
        <item x="5"/>
        <item x="76"/>
        <item x="4"/>
        <item x="1"/>
        <item x="54"/>
        <item x="73"/>
        <item x="24"/>
        <item x="78"/>
        <item x="51"/>
        <item x="40"/>
        <item x="74"/>
        <item x="41"/>
        <item x="0"/>
        <item x="50"/>
        <item x="81"/>
        <item x="31"/>
        <item x="37"/>
        <item x="79"/>
        <item x="35"/>
        <item x="56"/>
        <item x="52"/>
        <item x="34"/>
        <item x="42"/>
        <item x="75"/>
        <item x="63"/>
        <item x="70"/>
        <item x="36"/>
        <item x="80"/>
        <item x="84"/>
        <item x="30"/>
        <item x="29"/>
        <item x="32"/>
        <item x="46"/>
        <item x="58"/>
        <item x="48"/>
        <item x="71"/>
        <item x="49"/>
        <item x="77"/>
        <item x="45"/>
        <item x="59"/>
        <item x="57"/>
        <item x="60"/>
        <item x="33"/>
        <item x="47"/>
        <item x="53"/>
        <item t="default"/>
      </items>
    </pivotField>
    <pivotField dataField="1" showAll="0">
      <items count="126">
        <item x="124"/>
        <item x="120"/>
        <item x="123"/>
        <item x="122"/>
        <item x="105"/>
        <item x="116"/>
        <item x="121"/>
        <item x="119"/>
        <item x="104"/>
        <item x="108"/>
        <item x="97"/>
        <item x="117"/>
        <item x="118"/>
        <item x="106"/>
        <item x="107"/>
        <item x="109"/>
        <item x="113"/>
        <item x="110"/>
        <item x="114"/>
        <item x="93"/>
        <item x="94"/>
        <item x="115"/>
        <item x="111"/>
        <item x="112"/>
        <item x="95"/>
        <item x="98"/>
        <item x="96"/>
        <item x="91"/>
        <item x="92"/>
        <item x="90"/>
        <item x="101"/>
        <item x="89"/>
        <item x="100"/>
        <item x="99"/>
        <item x="11"/>
        <item x="103"/>
        <item x="12"/>
        <item x="38"/>
        <item x="9"/>
        <item x="87"/>
        <item x="102"/>
        <item x="88"/>
        <item x="85"/>
        <item x="66"/>
        <item x="86"/>
        <item x="8"/>
        <item x="62"/>
        <item x="13"/>
        <item x="83"/>
        <item x="15"/>
        <item x="82"/>
        <item x="16"/>
        <item x="14"/>
        <item x="79"/>
        <item x="6"/>
        <item x="81"/>
        <item x="18"/>
        <item x="17"/>
        <item x="58"/>
        <item x="10"/>
        <item x="80"/>
        <item x="7"/>
        <item x="40"/>
        <item x="57"/>
        <item x="5"/>
        <item x="56"/>
        <item x="63"/>
        <item x="78"/>
        <item x="20"/>
        <item x="70"/>
        <item x="41"/>
        <item x="77"/>
        <item x="39"/>
        <item x="2"/>
        <item x="51"/>
        <item x="22"/>
        <item x="32"/>
        <item x="34"/>
        <item x="4"/>
        <item x="67"/>
        <item x="55"/>
        <item x="19"/>
        <item x="64"/>
        <item x="35"/>
        <item x="31"/>
        <item x="84"/>
        <item x="65"/>
        <item x="3"/>
        <item x="33"/>
        <item x="21"/>
        <item x="54"/>
        <item x="42"/>
        <item x="53"/>
        <item x="52"/>
        <item x="50"/>
        <item x="43"/>
        <item x="75"/>
        <item x="23"/>
        <item x="48"/>
        <item x="37"/>
        <item x="30"/>
        <item x="76"/>
        <item x="72"/>
        <item x="44"/>
        <item x="71"/>
        <item x="73"/>
        <item x="27"/>
        <item x="36"/>
        <item x="26"/>
        <item x="69"/>
        <item x="24"/>
        <item x="74"/>
        <item x="28"/>
        <item x="29"/>
        <item x="49"/>
        <item x="25"/>
        <item x="47"/>
        <item x="68"/>
        <item x="46"/>
        <item x="45"/>
        <item x="60"/>
        <item x="59"/>
        <item x="61"/>
        <item x="0"/>
        <item x="1"/>
        <item t="default"/>
      </items>
    </pivotField>
    <pivotField showAll="0"/>
    <pivotField dataField="1" showAll="0">
      <items count="40">
        <item x="15"/>
        <item x="31"/>
        <item x="38"/>
        <item x="18"/>
        <item x="11"/>
        <item x="25"/>
        <item x="23"/>
        <item x="13"/>
        <item x="24"/>
        <item x="26"/>
        <item x="12"/>
        <item x="7"/>
        <item x="22"/>
        <item x="10"/>
        <item x="14"/>
        <item x="17"/>
        <item x="8"/>
        <item x="16"/>
        <item x="9"/>
        <item x="4"/>
        <item x="6"/>
        <item x="21"/>
        <item x="5"/>
        <item x="20"/>
        <item x="30"/>
        <item x="36"/>
        <item x="19"/>
        <item x="34"/>
        <item x="29"/>
        <item x="37"/>
        <item x="3"/>
        <item x="2"/>
        <item x="28"/>
        <item x="35"/>
        <item x="27"/>
        <item x="33"/>
        <item x="32"/>
        <item x="0"/>
        <item x="1"/>
        <item t="default"/>
      </items>
    </pivotField>
    <pivotField showAll="0"/>
    <pivotField dataField="1" showAll="0">
      <items count="31">
        <item x="3"/>
        <item x="6"/>
        <item x="7"/>
        <item x="22"/>
        <item x="5"/>
        <item x="27"/>
        <item x="8"/>
        <item x="13"/>
        <item x="29"/>
        <item x="9"/>
        <item x="12"/>
        <item x="2"/>
        <item x="4"/>
        <item x="21"/>
        <item x="10"/>
        <item x="19"/>
        <item x="14"/>
        <item x="11"/>
        <item x="20"/>
        <item x="15"/>
        <item x="28"/>
        <item x="23"/>
        <item x="17"/>
        <item x="18"/>
        <item x="26"/>
        <item x="16"/>
        <item x="25"/>
        <item x="24"/>
        <item x="0"/>
        <item x="1"/>
        <item t="default"/>
      </items>
    </pivotField>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9"/>
    <field x="18"/>
    <field x="1"/>
  </rowFields>
  <rowItems count="2">
    <i>
      <x v="4"/>
    </i>
    <i t="grand">
      <x/>
    </i>
  </rowItems>
  <colFields count="1">
    <field x="-2"/>
  </colFields>
  <colItems count="7">
    <i>
      <x/>
    </i>
    <i i="1">
      <x v="1"/>
    </i>
    <i i="2">
      <x v="2"/>
    </i>
    <i i="3">
      <x v="3"/>
    </i>
    <i i="4">
      <x v="4"/>
    </i>
    <i i="5">
      <x v="5"/>
    </i>
    <i i="6">
      <x v="6"/>
    </i>
  </colItems>
  <dataFields count="7">
    <dataField name="Sum of S/Alum (Kg)2" fld="4" baseField="0" baseItem="0"/>
    <dataField name="Sum of L/Alum(Litre)2" fld="6" baseField="0" baseItem="0"/>
    <dataField name="Sum of P/PAC(Kg)2" fld="8" baseField="0" baseItem="0"/>
    <dataField name="Sum of L/PAC(Litre)2" fld="10" baseField="0" baseItem="0"/>
    <dataField name="Sum of Chlorine (Kg)2" fld="12" baseField="0" baseItem="0"/>
    <dataField name="Sum of B/P (Kg)2" fld="14" baseField="0" baseItem="0"/>
    <dataField name="Sum of NaOCl (Litre)2" fld="16" baseField="0" baseItem="0"/>
  </dataFields>
  <chartFormats count="14">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 chart="2" format="9" series="1">
      <pivotArea type="data" outline="0" fieldPosition="0">
        <references count="1">
          <reference field="4294967294" count="1" selected="0">
            <x v="2"/>
          </reference>
        </references>
      </pivotArea>
    </chartFormat>
    <chartFormat chart="2" format="10" series="1">
      <pivotArea type="data" outline="0" fieldPosition="0">
        <references count="1">
          <reference field="4294967294" count="1" selected="0">
            <x v="3"/>
          </reference>
        </references>
      </pivotArea>
    </chartFormat>
    <chartFormat chart="2" format="13" series="1">
      <pivotArea type="data" outline="0" fieldPosition="0">
        <references count="1">
          <reference field="4294967294" count="1" selected="0">
            <x v="6"/>
          </reference>
        </references>
      </pivotArea>
    </chartFormat>
    <chartFormat chart="2" format="15" series="1">
      <pivotArea type="data" outline="0" fieldPosition="0">
        <references count="1">
          <reference field="4294967294" count="1" selected="0">
            <x v="4"/>
          </reference>
        </references>
      </pivotArea>
    </chartFormat>
    <chartFormat chart="2" format="16" series="1">
      <pivotArea type="data" outline="0" fieldPosition="0">
        <references count="1">
          <reference field="4294967294" count="1" selected="0">
            <x v="5"/>
          </reference>
        </references>
      </pivotArea>
    </chartFormat>
    <chartFormat chart="20" format="24" series="1">
      <pivotArea type="data" outline="0" fieldPosition="0">
        <references count="1">
          <reference field="4294967294" count="1" selected="0">
            <x v="0"/>
          </reference>
        </references>
      </pivotArea>
    </chartFormat>
    <chartFormat chart="20" format="25" series="1">
      <pivotArea type="data" outline="0" fieldPosition="0">
        <references count="1">
          <reference field="4294967294" count="1" selected="0">
            <x v="1"/>
          </reference>
        </references>
      </pivotArea>
    </chartFormat>
    <chartFormat chart="20" format="26" series="1">
      <pivotArea type="data" outline="0" fieldPosition="0">
        <references count="1">
          <reference field="4294967294" count="1" selected="0">
            <x v="2"/>
          </reference>
        </references>
      </pivotArea>
    </chartFormat>
    <chartFormat chart="20" format="27" series="1">
      <pivotArea type="data" outline="0" fieldPosition="0">
        <references count="1">
          <reference field="4294967294" count="1" selected="0">
            <x v="3"/>
          </reference>
        </references>
      </pivotArea>
    </chartFormat>
    <chartFormat chart="20" format="28" series="1">
      <pivotArea type="data" outline="0" fieldPosition="0">
        <references count="1">
          <reference field="4294967294" count="1" selected="0">
            <x v="4"/>
          </reference>
        </references>
      </pivotArea>
    </chartFormat>
    <chartFormat chart="20" format="29" series="1">
      <pivotArea type="data" outline="0" fieldPosition="0">
        <references count="1">
          <reference field="4294967294" count="1" selected="0">
            <x v="5"/>
          </reference>
        </references>
      </pivotArea>
    </chartFormat>
    <chartFormat chart="20" format="30"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EEFF20-500C-4169-8DAE-F38F5AC40265}" name="PivotTable3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6:K7" firstHeaderRow="0" firstDataRow="1" firstDataCol="0"/>
  <pivotFields count="20">
    <pivotField showAll="0">
      <items count="9">
        <item x="0"/>
        <item x="2"/>
        <item x="5"/>
        <item x="6"/>
        <item x="7"/>
        <item x="3"/>
        <item x="4"/>
        <item x="1"/>
        <item t="default"/>
      </items>
    </pivotField>
    <pivotField showAll="0">
      <items count="209">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1"/>
        <item t="default"/>
      </items>
    </pivotField>
    <pivotField showAll="0"/>
    <pivotField dataField="1" showAll="0">
      <items count="58">
        <item x="42"/>
        <item x="46"/>
        <item x="47"/>
        <item x="48"/>
        <item x="44"/>
        <item x="52"/>
        <item x="33"/>
        <item x="53"/>
        <item x="51"/>
        <item x="50"/>
        <item x="43"/>
        <item x="45"/>
        <item x="27"/>
        <item x="24"/>
        <item x="39"/>
        <item x="25"/>
        <item x="38"/>
        <item x="26"/>
        <item x="35"/>
        <item x="55"/>
        <item x="23"/>
        <item x="21"/>
        <item x="37"/>
        <item x="49"/>
        <item x="28"/>
        <item x="34"/>
        <item x="19"/>
        <item x="36"/>
        <item x="11"/>
        <item x="12"/>
        <item x="22"/>
        <item x="32"/>
        <item x="16"/>
        <item x="14"/>
        <item x="31"/>
        <item x="54"/>
        <item x="13"/>
        <item x="30"/>
        <item x="56"/>
        <item x="6"/>
        <item x="17"/>
        <item x="20"/>
        <item x="15"/>
        <item x="10"/>
        <item x="40"/>
        <item x="41"/>
        <item x="2"/>
        <item x="5"/>
        <item x="0"/>
        <item x="1"/>
        <item x="9"/>
        <item x="3"/>
        <item x="4"/>
        <item x="8"/>
        <item x="29"/>
        <item x="7"/>
        <item x="18"/>
        <item t="default"/>
      </items>
    </pivotField>
    <pivotField showAll="0">
      <items count="93">
        <item x="62"/>
        <item x="61"/>
        <item x="79"/>
        <item x="59"/>
        <item x="58"/>
        <item x="77"/>
        <item x="56"/>
        <item x="60"/>
        <item x="72"/>
        <item x="76"/>
        <item x="70"/>
        <item x="55"/>
        <item x="71"/>
        <item x="63"/>
        <item x="89"/>
        <item x="43"/>
        <item x="88"/>
        <item x="81"/>
        <item x="42"/>
        <item x="87"/>
        <item x="66"/>
        <item x="57"/>
        <item x="86"/>
        <item x="84"/>
        <item x="85"/>
        <item x="82"/>
        <item x="73"/>
        <item x="64"/>
        <item x="83"/>
        <item x="68"/>
        <item x="75"/>
        <item x="78"/>
        <item x="30"/>
        <item x="29"/>
        <item x="80"/>
        <item x="45"/>
        <item x="74"/>
        <item x="28"/>
        <item x="26"/>
        <item x="49"/>
        <item x="44"/>
        <item x="27"/>
        <item x="48"/>
        <item x="46"/>
        <item x="31"/>
        <item x="47"/>
        <item x="67"/>
        <item x="25"/>
        <item x="69"/>
        <item x="54"/>
        <item x="51"/>
        <item x="65"/>
        <item x="39"/>
        <item x="32"/>
        <item x="13"/>
        <item x="50"/>
        <item x="90"/>
        <item x="37"/>
        <item x="24"/>
        <item x="91"/>
        <item x="23"/>
        <item x="20"/>
        <item x="17"/>
        <item x="40"/>
        <item x="52"/>
        <item x="14"/>
        <item x="15"/>
        <item x="7"/>
        <item x="19"/>
        <item x="41"/>
        <item x="16"/>
        <item x="38"/>
        <item x="18"/>
        <item x="21"/>
        <item x="53"/>
        <item x="34"/>
        <item x="33"/>
        <item x="12"/>
        <item x="11"/>
        <item x="0"/>
        <item x="5"/>
        <item x="10"/>
        <item x="2"/>
        <item x="3"/>
        <item x="4"/>
        <item x="9"/>
        <item x="6"/>
        <item x="36"/>
        <item x="8"/>
        <item x="35"/>
        <item x="22"/>
        <item x="1"/>
        <item t="default"/>
      </items>
    </pivotField>
    <pivotField dataField="1" showAll="0"/>
    <pivotField showAll="0">
      <items count="98">
        <item x="2"/>
        <item x="3"/>
        <item x="5"/>
        <item x="4"/>
        <item x="96"/>
        <item x="33"/>
        <item x="28"/>
        <item x="95"/>
        <item x="94"/>
        <item x="70"/>
        <item x="24"/>
        <item x="71"/>
        <item x="68"/>
        <item x="69"/>
        <item x="93"/>
        <item x="54"/>
        <item x="23"/>
        <item x="19"/>
        <item x="6"/>
        <item x="53"/>
        <item x="25"/>
        <item x="57"/>
        <item x="87"/>
        <item x="89"/>
        <item x="83"/>
        <item x="88"/>
        <item x="90"/>
        <item x="65"/>
        <item x="34"/>
        <item x="81"/>
        <item x="21"/>
        <item x="82"/>
        <item x="12"/>
        <item x="56"/>
        <item x="84"/>
        <item x="64"/>
        <item x="32"/>
        <item x="91"/>
        <item x="73"/>
        <item x="10"/>
        <item x="92"/>
        <item x="22"/>
        <item x="49"/>
        <item x="85"/>
        <item x="48"/>
        <item x="58"/>
        <item x="47"/>
        <item x="29"/>
        <item x="86"/>
        <item x="67"/>
        <item x="30"/>
        <item x="35"/>
        <item x="38"/>
        <item x="27"/>
        <item x="52"/>
        <item x="75"/>
        <item x="8"/>
        <item x="43"/>
        <item x="51"/>
        <item x="41"/>
        <item x="80"/>
        <item x="17"/>
        <item x="7"/>
        <item x="13"/>
        <item x="72"/>
        <item x="42"/>
        <item x="44"/>
        <item x="36"/>
        <item x="37"/>
        <item x="15"/>
        <item x="55"/>
        <item x="79"/>
        <item x="9"/>
        <item x="76"/>
        <item x="50"/>
        <item x="40"/>
        <item x="11"/>
        <item x="78"/>
        <item x="74"/>
        <item x="77"/>
        <item x="66"/>
        <item x="63"/>
        <item x="20"/>
        <item x="45"/>
        <item x="26"/>
        <item x="62"/>
        <item x="31"/>
        <item x="46"/>
        <item x="60"/>
        <item x="61"/>
        <item x="18"/>
        <item x="14"/>
        <item x="59"/>
        <item x="39"/>
        <item x="16"/>
        <item sd="0" x="0"/>
        <item x="1"/>
        <item t="default"/>
      </items>
    </pivotField>
    <pivotField dataField="1" showAll="0"/>
    <pivotField showAll="0">
      <items count="35">
        <item x="2"/>
        <item x="9"/>
        <item x="8"/>
        <item x="29"/>
        <item x="20"/>
        <item x="10"/>
        <item x="30"/>
        <item x="33"/>
        <item x="7"/>
        <item x="21"/>
        <item x="19"/>
        <item x="12"/>
        <item x="22"/>
        <item x="23"/>
        <item x="13"/>
        <item x="11"/>
        <item x="6"/>
        <item x="18"/>
        <item x="17"/>
        <item x="3"/>
        <item x="16"/>
        <item x="14"/>
        <item x="15"/>
        <item x="4"/>
        <item x="32"/>
        <item x="5"/>
        <item x="28"/>
        <item x="31"/>
        <item x="25"/>
        <item x="26"/>
        <item x="24"/>
        <item x="27"/>
        <item x="0"/>
        <item x="1"/>
        <item t="default"/>
      </items>
    </pivotField>
    <pivotField dataField="1" showAll="0"/>
    <pivotField showAll="0">
      <items count="75">
        <item x="2"/>
        <item x="4"/>
        <item x="70"/>
        <item x="3"/>
        <item x="5"/>
        <item x="36"/>
        <item x="17"/>
        <item x="6"/>
        <item x="7"/>
        <item x="47"/>
        <item x="15"/>
        <item x="18"/>
        <item x="9"/>
        <item x="14"/>
        <item x="13"/>
        <item x="16"/>
        <item x="8"/>
        <item x="10"/>
        <item x="11"/>
        <item x="20"/>
        <item x="19"/>
        <item x="12"/>
        <item x="66"/>
        <item x="21"/>
        <item x="22"/>
        <item x="23"/>
        <item x="60"/>
        <item x="45"/>
        <item x="62"/>
        <item x="51"/>
        <item x="53"/>
        <item x="67"/>
        <item x="57"/>
        <item x="44"/>
        <item x="35"/>
        <item x="58"/>
        <item x="46"/>
        <item x="59"/>
        <item x="61"/>
        <item x="54"/>
        <item x="65"/>
        <item x="49"/>
        <item x="72"/>
        <item x="71"/>
        <item x="68"/>
        <item x="25"/>
        <item x="27"/>
        <item x="48"/>
        <item x="41"/>
        <item x="69"/>
        <item x="56"/>
        <item x="24"/>
        <item x="26"/>
        <item x="29"/>
        <item x="30"/>
        <item x="55"/>
        <item x="32"/>
        <item x="37"/>
        <item x="28"/>
        <item x="73"/>
        <item x="63"/>
        <item x="50"/>
        <item x="42"/>
        <item x="34"/>
        <item x="64"/>
        <item x="39"/>
        <item x="33"/>
        <item x="31"/>
        <item x="43"/>
        <item x="38"/>
        <item x="40"/>
        <item x="52"/>
        <item x="0"/>
        <item x="1"/>
        <item t="default"/>
      </items>
    </pivotField>
    <pivotField dataField="1" showAll="0"/>
    <pivotField showAll="0">
      <items count="126">
        <item x="124"/>
        <item x="120"/>
        <item x="123"/>
        <item x="122"/>
        <item x="105"/>
        <item x="116"/>
        <item x="121"/>
        <item x="119"/>
        <item x="104"/>
        <item x="108"/>
        <item x="97"/>
        <item x="117"/>
        <item x="118"/>
        <item x="106"/>
        <item x="107"/>
        <item x="109"/>
        <item x="113"/>
        <item x="110"/>
        <item x="114"/>
        <item x="93"/>
        <item x="94"/>
        <item x="115"/>
        <item x="111"/>
        <item x="112"/>
        <item x="95"/>
        <item x="98"/>
        <item x="96"/>
        <item x="91"/>
        <item x="92"/>
        <item x="90"/>
        <item x="101"/>
        <item x="89"/>
        <item x="100"/>
        <item x="99"/>
        <item x="11"/>
        <item x="103"/>
        <item x="12"/>
        <item x="38"/>
        <item x="9"/>
        <item x="87"/>
        <item x="102"/>
        <item x="88"/>
        <item x="85"/>
        <item x="66"/>
        <item x="86"/>
        <item x="8"/>
        <item x="62"/>
        <item x="13"/>
        <item x="83"/>
        <item x="15"/>
        <item x="82"/>
        <item x="16"/>
        <item x="14"/>
        <item x="79"/>
        <item x="6"/>
        <item x="81"/>
        <item x="18"/>
        <item x="17"/>
        <item x="58"/>
        <item x="10"/>
        <item x="80"/>
        <item x="7"/>
        <item x="40"/>
        <item x="57"/>
        <item x="5"/>
        <item x="56"/>
        <item x="63"/>
        <item x="78"/>
        <item x="20"/>
        <item x="70"/>
        <item x="41"/>
        <item x="77"/>
        <item x="39"/>
        <item x="2"/>
        <item x="51"/>
        <item x="22"/>
        <item x="32"/>
        <item x="34"/>
        <item x="4"/>
        <item x="67"/>
        <item x="55"/>
        <item x="19"/>
        <item x="64"/>
        <item x="35"/>
        <item x="31"/>
        <item x="84"/>
        <item x="65"/>
        <item x="3"/>
        <item x="33"/>
        <item x="21"/>
        <item x="54"/>
        <item x="42"/>
        <item x="53"/>
        <item x="52"/>
        <item x="50"/>
        <item x="43"/>
        <item x="75"/>
        <item x="23"/>
        <item x="48"/>
        <item x="37"/>
        <item x="30"/>
        <item x="76"/>
        <item x="72"/>
        <item x="44"/>
        <item x="71"/>
        <item x="73"/>
        <item x="27"/>
        <item x="36"/>
        <item x="26"/>
        <item x="69"/>
        <item x="24"/>
        <item x="74"/>
        <item x="28"/>
        <item x="29"/>
        <item x="49"/>
        <item x="25"/>
        <item x="47"/>
        <item x="68"/>
        <item x="46"/>
        <item x="45"/>
        <item x="60"/>
        <item x="59"/>
        <item x="61"/>
        <item x="0"/>
        <item x="1"/>
        <item t="default"/>
      </items>
    </pivotField>
    <pivotField dataField="1" showAll="0"/>
    <pivotField showAll="0">
      <items count="40">
        <item x="15"/>
        <item x="31"/>
        <item x="38"/>
        <item x="18"/>
        <item x="11"/>
        <item x="25"/>
        <item x="23"/>
        <item x="13"/>
        <item x="24"/>
        <item x="26"/>
        <item x="12"/>
        <item x="7"/>
        <item x="22"/>
        <item x="10"/>
        <item x="14"/>
        <item x="17"/>
        <item x="8"/>
        <item x="16"/>
        <item x="9"/>
        <item x="4"/>
        <item x="6"/>
        <item x="21"/>
        <item x="5"/>
        <item x="20"/>
        <item x="30"/>
        <item x="36"/>
        <item x="19"/>
        <item x="34"/>
        <item x="29"/>
        <item x="37"/>
        <item x="3"/>
        <item x="2"/>
        <item x="28"/>
        <item x="35"/>
        <item x="27"/>
        <item x="33"/>
        <item x="32"/>
        <item x="0"/>
        <item x="1"/>
        <item t="default"/>
      </items>
    </pivotField>
    <pivotField dataField="1" showAll="0"/>
    <pivotField showAll="0">
      <items count="31">
        <item x="3"/>
        <item x="6"/>
        <item x="7"/>
        <item x="22"/>
        <item x="5"/>
        <item x="27"/>
        <item x="8"/>
        <item x="13"/>
        <item x="29"/>
        <item x="9"/>
        <item x="12"/>
        <item x="2"/>
        <item x="4"/>
        <item x="21"/>
        <item x="10"/>
        <item x="19"/>
        <item x="14"/>
        <item x="11"/>
        <item x="20"/>
        <item x="15"/>
        <item x="28"/>
        <item x="23"/>
        <item x="17"/>
        <item x="18"/>
        <item x="26"/>
        <item x="16"/>
        <item x="25"/>
        <item x="24"/>
        <item x="0"/>
        <item x="1"/>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sortType="ascending">
      <items count="15">
        <item sd="0" x="1"/>
        <item sd="0" x="2"/>
        <item sd="0" x="3"/>
        <item sd="0" x="4"/>
        <item sd="0" x="5"/>
        <item sd="0" x="6"/>
        <item sd="0" x="7"/>
        <item sd="0" x="8"/>
        <item sd="0" x="9"/>
        <item sd="0" x="10"/>
        <item sd="0" x="11"/>
        <item sd="0" x="12"/>
        <item h="1" sd="0" x="0"/>
        <item h="1" sd="0" x="13"/>
        <item t="default"/>
      </items>
    </pivotField>
  </pivotFields>
  <rowItems count="1">
    <i/>
  </rowItems>
  <colFields count="1">
    <field x="-2"/>
  </colFields>
  <colItems count="7">
    <i>
      <x/>
    </i>
    <i i="1">
      <x v="1"/>
    </i>
    <i i="2">
      <x v="2"/>
    </i>
    <i i="3">
      <x v="3"/>
    </i>
    <i i="4">
      <x v="4"/>
    </i>
    <i i="5">
      <x v="5"/>
    </i>
    <i i="6">
      <x v="6"/>
    </i>
  </colItems>
  <dataFields count="7">
    <dataField name="Sum of S/Alum (Kg)" fld="3" baseField="0" baseItem="0"/>
    <dataField name="Sum of L/Alum(Litre)" fld="5" baseField="0" baseItem="0"/>
    <dataField name="Sum of P/PAC(Kg)" fld="7" baseField="0" baseItem="0"/>
    <dataField name="Sum of L/PAC(Litre)" fld="9" baseField="0" baseItem="0"/>
    <dataField name="Sum of Chlorine (Kg)" fld="11" baseField="0" baseItem="0"/>
    <dataField name="Sum of B/P (Kg)" fld="13" baseField="0" baseItem="0"/>
    <dataField name="Sum of NaOCl (Litre)" fld="15" baseField="0" baseItem="0"/>
  </dataFields>
  <chartFormats count="7">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5"/>
          </reference>
        </references>
      </pivotArea>
    </chartFormat>
    <chartFormat chart="1" format="5" series="1">
      <pivotArea type="data" outline="0" fieldPosition="0">
        <references count="1">
          <reference field="4294967294" count="1" selected="0">
            <x v="6"/>
          </reference>
        </references>
      </pivotArea>
    </chartFormat>
    <chartFormat chart="1" format="6"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8FEB6F-C4EC-46BF-85D8-DC3EEF5008ED}" name="PivotTable3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0">
    <pivotField showAll="0"/>
    <pivotField showAll="0">
      <items count="209">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1"/>
        <item t="default"/>
      </items>
    </pivotField>
    <pivotField showAll="0"/>
    <pivotField showAll="0"/>
    <pivotField showAll="0"/>
    <pivotField showAll="0"/>
    <pivotField showAll="0">
      <items count="98">
        <item x="2"/>
        <item x="3"/>
        <item x="5"/>
        <item x="4"/>
        <item x="96"/>
        <item x="33"/>
        <item x="28"/>
        <item x="95"/>
        <item x="94"/>
        <item x="70"/>
        <item x="24"/>
        <item x="71"/>
        <item x="68"/>
        <item x="69"/>
        <item x="93"/>
        <item x="54"/>
        <item x="23"/>
        <item x="19"/>
        <item x="6"/>
        <item x="53"/>
        <item x="25"/>
        <item x="57"/>
        <item x="87"/>
        <item x="89"/>
        <item x="83"/>
        <item x="88"/>
        <item x="90"/>
        <item x="65"/>
        <item x="34"/>
        <item x="81"/>
        <item x="21"/>
        <item x="82"/>
        <item x="12"/>
        <item x="56"/>
        <item x="84"/>
        <item x="64"/>
        <item x="32"/>
        <item x="91"/>
        <item x="73"/>
        <item x="10"/>
        <item x="92"/>
        <item x="22"/>
        <item x="49"/>
        <item x="85"/>
        <item x="48"/>
        <item x="58"/>
        <item x="47"/>
        <item x="29"/>
        <item x="86"/>
        <item x="67"/>
        <item x="30"/>
        <item x="35"/>
        <item x="38"/>
        <item x="27"/>
        <item x="52"/>
        <item x="75"/>
        <item x="8"/>
        <item x="43"/>
        <item x="51"/>
        <item x="41"/>
        <item x="80"/>
        <item x="17"/>
        <item x="7"/>
        <item x="13"/>
        <item x="72"/>
        <item x="42"/>
        <item x="44"/>
        <item x="36"/>
        <item x="37"/>
        <item x="15"/>
        <item x="55"/>
        <item x="79"/>
        <item x="9"/>
        <item x="76"/>
        <item x="50"/>
        <item x="40"/>
        <item x="11"/>
        <item x="78"/>
        <item x="74"/>
        <item x="77"/>
        <item x="66"/>
        <item x="63"/>
        <item x="20"/>
        <item x="45"/>
        <item x="26"/>
        <item x="62"/>
        <item x="31"/>
        <item x="46"/>
        <item x="60"/>
        <item x="61"/>
        <item x="18"/>
        <item x="14"/>
        <item x="59"/>
        <item x="39"/>
        <item x="16"/>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48B742-C8B0-4E39-A952-7C39C7D62FF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0">
    <pivotField showAll="0"/>
    <pivotField showAll="0">
      <items count="209">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1"/>
        <item t="default"/>
      </items>
    </pivotField>
    <pivotField showAll="0"/>
    <pivotField showAll="0"/>
    <pivotField showAll="0"/>
    <pivotField showAll="0"/>
    <pivotField showAll="0">
      <items count="98">
        <item x="2"/>
        <item x="3"/>
        <item x="5"/>
        <item x="4"/>
        <item x="96"/>
        <item x="33"/>
        <item x="28"/>
        <item x="95"/>
        <item x="94"/>
        <item x="70"/>
        <item x="24"/>
        <item x="71"/>
        <item x="68"/>
        <item x="69"/>
        <item x="93"/>
        <item x="54"/>
        <item x="23"/>
        <item x="19"/>
        <item x="6"/>
        <item x="53"/>
        <item x="25"/>
        <item x="57"/>
        <item x="87"/>
        <item x="89"/>
        <item x="83"/>
        <item x="88"/>
        <item x="90"/>
        <item x="65"/>
        <item x="34"/>
        <item x="81"/>
        <item x="21"/>
        <item x="82"/>
        <item x="12"/>
        <item x="56"/>
        <item x="84"/>
        <item x="64"/>
        <item x="32"/>
        <item x="91"/>
        <item x="73"/>
        <item x="10"/>
        <item x="92"/>
        <item x="22"/>
        <item x="49"/>
        <item x="85"/>
        <item x="48"/>
        <item x="58"/>
        <item x="47"/>
        <item x="29"/>
        <item x="86"/>
        <item x="67"/>
        <item x="30"/>
        <item x="35"/>
        <item x="38"/>
        <item x="27"/>
        <item x="52"/>
        <item x="75"/>
        <item x="8"/>
        <item x="43"/>
        <item x="51"/>
        <item x="41"/>
        <item x="80"/>
        <item x="17"/>
        <item x="7"/>
        <item x="13"/>
        <item x="72"/>
        <item x="42"/>
        <item x="44"/>
        <item x="36"/>
        <item x="37"/>
        <item x="15"/>
        <item x="55"/>
        <item x="79"/>
        <item x="9"/>
        <item x="76"/>
        <item x="50"/>
        <item x="40"/>
        <item x="11"/>
        <item x="78"/>
        <item x="74"/>
        <item x="77"/>
        <item x="66"/>
        <item x="63"/>
        <item x="20"/>
        <item x="45"/>
        <item x="26"/>
        <item x="62"/>
        <item x="31"/>
        <item x="46"/>
        <item x="60"/>
        <item x="61"/>
        <item x="18"/>
        <item x="14"/>
        <item x="59"/>
        <item x="39"/>
        <item x="16"/>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EE240B-9B98-475A-9FF5-5B3FFE91D02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G4" firstHeaderRow="0" firstDataRow="1" firstDataCol="0"/>
  <pivotFields count="20">
    <pivotField showAll="0"/>
    <pivotField showAll="0">
      <items count="209">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1"/>
        <item t="default"/>
      </items>
    </pivotField>
    <pivotField showAll="0"/>
    <pivotField showAll="0"/>
    <pivotField dataField="1" showAll="0"/>
    <pivotField showAll="0"/>
    <pivotField dataField="1" showAll="0">
      <items count="98">
        <item x="2"/>
        <item x="3"/>
        <item x="5"/>
        <item x="4"/>
        <item x="96"/>
        <item x="33"/>
        <item x="28"/>
        <item x="95"/>
        <item x="94"/>
        <item x="70"/>
        <item x="24"/>
        <item x="71"/>
        <item x="68"/>
        <item x="69"/>
        <item x="93"/>
        <item x="54"/>
        <item x="23"/>
        <item x="19"/>
        <item x="6"/>
        <item x="53"/>
        <item x="25"/>
        <item x="57"/>
        <item x="87"/>
        <item x="89"/>
        <item x="83"/>
        <item x="88"/>
        <item x="90"/>
        <item x="65"/>
        <item x="34"/>
        <item x="81"/>
        <item x="21"/>
        <item x="82"/>
        <item x="12"/>
        <item x="56"/>
        <item x="84"/>
        <item x="64"/>
        <item x="32"/>
        <item x="91"/>
        <item x="73"/>
        <item x="10"/>
        <item x="92"/>
        <item x="22"/>
        <item x="49"/>
        <item x="85"/>
        <item x="48"/>
        <item x="58"/>
        <item x="47"/>
        <item x="29"/>
        <item x="86"/>
        <item x="67"/>
        <item x="30"/>
        <item x="35"/>
        <item x="38"/>
        <item x="27"/>
        <item x="52"/>
        <item x="75"/>
        <item x="8"/>
        <item x="43"/>
        <item x="51"/>
        <item x="41"/>
        <item x="80"/>
        <item x="17"/>
        <item x="7"/>
        <item x="13"/>
        <item x="72"/>
        <item x="42"/>
        <item x="44"/>
        <item x="36"/>
        <item x="37"/>
        <item x="15"/>
        <item x="55"/>
        <item x="79"/>
        <item x="9"/>
        <item x="76"/>
        <item x="50"/>
        <item x="40"/>
        <item x="11"/>
        <item x="78"/>
        <item x="74"/>
        <item x="77"/>
        <item x="66"/>
        <item x="63"/>
        <item x="20"/>
        <item x="45"/>
        <item x="26"/>
        <item x="62"/>
        <item x="31"/>
        <item x="46"/>
        <item x="60"/>
        <item x="61"/>
        <item x="18"/>
        <item x="14"/>
        <item x="59"/>
        <item x="39"/>
        <item x="16"/>
        <item x="0"/>
        <item x="1"/>
        <item t="default"/>
      </items>
    </pivotField>
    <pivotField showAll="0"/>
    <pivotField dataField="1" showAll="0">
      <items count="35">
        <item x="2"/>
        <item x="9"/>
        <item x="8"/>
        <item x="29"/>
        <item x="20"/>
        <item x="10"/>
        <item x="30"/>
        <item x="33"/>
        <item x="7"/>
        <item x="21"/>
        <item x="19"/>
        <item x="12"/>
        <item x="22"/>
        <item x="23"/>
        <item x="13"/>
        <item x="11"/>
        <item x="6"/>
        <item x="18"/>
        <item x="17"/>
        <item x="3"/>
        <item x="16"/>
        <item x="14"/>
        <item x="15"/>
        <item x="4"/>
        <item x="32"/>
        <item x="5"/>
        <item x="28"/>
        <item x="31"/>
        <item x="25"/>
        <item x="26"/>
        <item x="24"/>
        <item x="27"/>
        <item x="0"/>
        <item x="1"/>
        <item t="default"/>
      </items>
    </pivotField>
    <pivotField showAll="0"/>
    <pivotField dataField="1" showAll="0">
      <items count="75">
        <item x="2"/>
        <item x="4"/>
        <item x="70"/>
        <item x="3"/>
        <item x="5"/>
        <item x="36"/>
        <item x="17"/>
        <item x="6"/>
        <item x="7"/>
        <item x="47"/>
        <item x="15"/>
        <item x="18"/>
        <item x="9"/>
        <item x="14"/>
        <item x="13"/>
        <item x="16"/>
        <item x="8"/>
        <item x="10"/>
        <item x="11"/>
        <item x="20"/>
        <item x="19"/>
        <item x="12"/>
        <item x="66"/>
        <item x="21"/>
        <item x="22"/>
        <item x="23"/>
        <item x="60"/>
        <item x="45"/>
        <item x="62"/>
        <item x="51"/>
        <item x="53"/>
        <item x="67"/>
        <item x="57"/>
        <item x="44"/>
        <item x="35"/>
        <item x="58"/>
        <item x="46"/>
        <item x="59"/>
        <item x="61"/>
        <item x="54"/>
        <item x="65"/>
        <item x="49"/>
        <item x="72"/>
        <item x="71"/>
        <item x="68"/>
        <item x="25"/>
        <item x="27"/>
        <item x="48"/>
        <item x="41"/>
        <item x="69"/>
        <item x="56"/>
        <item x="24"/>
        <item x="26"/>
        <item x="29"/>
        <item x="30"/>
        <item x="55"/>
        <item x="32"/>
        <item x="37"/>
        <item x="28"/>
        <item x="73"/>
        <item x="63"/>
        <item x="50"/>
        <item x="42"/>
        <item x="34"/>
        <item x="64"/>
        <item x="39"/>
        <item x="33"/>
        <item x="31"/>
        <item x="43"/>
        <item x="38"/>
        <item x="40"/>
        <item x="52"/>
        <item x="0"/>
        <item x="1"/>
        <item t="default"/>
      </items>
    </pivotField>
    <pivotField showAll="0"/>
    <pivotField dataField="1" showAll="0">
      <items count="126">
        <item x="124"/>
        <item x="120"/>
        <item x="123"/>
        <item x="122"/>
        <item x="105"/>
        <item x="116"/>
        <item x="121"/>
        <item x="119"/>
        <item x="104"/>
        <item x="108"/>
        <item x="97"/>
        <item x="117"/>
        <item x="118"/>
        <item x="106"/>
        <item x="107"/>
        <item x="109"/>
        <item x="113"/>
        <item x="110"/>
        <item x="114"/>
        <item x="93"/>
        <item x="94"/>
        <item x="115"/>
        <item x="111"/>
        <item x="112"/>
        <item x="95"/>
        <item x="98"/>
        <item x="96"/>
        <item x="91"/>
        <item x="92"/>
        <item x="90"/>
        <item x="101"/>
        <item x="89"/>
        <item x="100"/>
        <item x="99"/>
        <item x="11"/>
        <item x="103"/>
        <item x="12"/>
        <item x="38"/>
        <item x="9"/>
        <item x="87"/>
        <item x="102"/>
        <item x="88"/>
        <item x="85"/>
        <item x="66"/>
        <item x="86"/>
        <item x="8"/>
        <item x="62"/>
        <item x="13"/>
        <item x="83"/>
        <item x="15"/>
        <item x="82"/>
        <item x="16"/>
        <item x="14"/>
        <item x="79"/>
        <item x="6"/>
        <item x="81"/>
        <item x="18"/>
        <item x="17"/>
        <item x="58"/>
        <item x="10"/>
        <item x="80"/>
        <item x="7"/>
        <item x="40"/>
        <item x="57"/>
        <item x="5"/>
        <item x="56"/>
        <item x="63"/>
        <item x="78"/>
        <item x="20"/>
        <item x="70"/>
        <item x="41"/>
        <item x="77"/>
        <item x="39"/>
        <item x="2"/>
        <item x="51"/>
        <item x="22"/>
        <item x="32"/>
        <item x="34"/>
        <item x="4"/>
        <item x="67"/>
        <item x="55"/>
        <item x="19"/>
        <item x="64"/>
        <item x="35"/>
        <item x="31"/>
        <item x="84"/>
        <item x="65"/>
        <item x="3"/>
        <item x="33"/>
        <item x="21"/>
        <item x="54"/>
        <item x="42"/>
        <item x="53"/>
        <item x="52"/>
        <item x="50"/>
        <item x="43"/>
        <item x="75"/>
        <item x="23"/>
        <item x="48"/>
        <item x="37"/>
        <item x="30"/>
        <item x="76"/>
        <item x="72"/>
        <item x="44"/>
        <item x="71"/>
        <item x="73"/>
        <item x="27"/>
        <item x="36"/>
        <item x="26"/>
        <item x="69"/>
        <item x="24"/>
        <item x="74"/>
        <item x="28"/>
        <item x="29"/>
        <item x="49"/>
        <item x="25"/>
        <item x="47"/>
        <item x="68"/>
        <item x="46"/>
        <item x="45"/>
        <item x="60"/>
        <item x="59"/>
        <item x="61"/>
        <item x="0"/>
        <item x="1"/>
        <item t="default"/>
      </items>
    </pivotField>
    <pivotField showAll="0"/>
    <pivotField dataField="1" showAll="0">
      <items count="40">
        <item x="15"/>
        <item x="31"/>
        <item x="38"/>
        <item x="18"/>
        <item x="11"/>
        <item x="25"/>
        <item x="23"/>
        <item x="13"/>
        <item x="24"/>
        <item x="26"/>
        <item x="12"/>
        <item x="7"/>
        <item x="22"/>
        <item x="10"/>
        <item x="14"/>
        <item x="17"/>
        <item x="8"/>
        <item x="16"/>
        <item x="9"/>
        <item x="4"/>
        <item x="6"/>
        <item x="21"/>
        <item x="5"/>
        <item x="20"/>
        <item x="30"/>
        <item x="36"/>
        <item x="19"/>
        <item x="34"/>
        <item x="29"/>
        <item x="37"/>
        <item x="3"/>
        <item x="2"/>
        <item x="28"/>
        <item x="35"/>
        <item x="27"/>
        <item x="33"/>
        <item x="32"/>
        <item x="0"/>
        <item x="1"/>
        <item t="default"/>
      </items>
    </pivotField>
    <pivotField showAll="0"/>
    <pivotField dataField="1" showAll="0">
      <items count="31">
        <item x="3"/>
        <item x="6"/>
        <item x="7"/>
        <item x="22"/>
        <item x="5"/>
        <item x="27"/>
        <item x="8"/>
        <item x="13"/>
        <item x="29"/>
        <item x="9"/>
        <item x="12"/>
        <item x="2"/>
        <item x="4"/>
        <item x="21"/>
        <item x="10"/>
        <item x="19"/>
        <item x="14"/>
        <item x="11"/>
        <item x="20"/>
        <item x="15"/>
        <item x="28"/>
        <item x="23"/>
        <item x="17"/>
        <item x="18"/>
        <item x="26"/>
        <item x="16"/>
        <item x="25"/>
        <item x="24"/>
        <item x="0"/>
        <item x="1"/>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7">
    <i>
      <x/>
    </i>
    <i i="1">
      <x v="1"/>
    </i>
    <i i="2">
      <x v="2"/>
    </i>
    <i i="3">
      <x v="3"/>
    </i>
    <i i="4">
      <x v="4"/>
    </i>
    <i i="5">
      <x v="5"/>
    </i>
    <i i="6">
      <x v="6"/>
    </i>
  </colItems>
  <dataFields count="7">
    <dataField name="Sum of S/Alum (Kg)2" fld="4" baseField="0" baseItem="0"/>
    <dataField name="Sum of L/Alum(Litre)2" fld="6" baseField="0" baseItem="0"/>
    <dataField name="Sum of P/PAC(Kg)2" fld="8" baseField="0" baseItem="0"/>
    <dataField name="Sum of L/PAC(Litre)2" fld="10" baseField="0" baseItem="0"/>
    <dataField name="Sum of Chlorine (Kg)2" fld="12" baseField="0" baseItem="0"/>
    <dataField name="Sum of B/P (Kg)2" fld="14" baseField="0" baseItem="0"/>
    <dataField name="Sum of NaOCl (Litre)2"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4429E51-58B8-4472-9174-D3E7A99DEF73}"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2">
    <pivotField axis="axisRow" showAll="0">
      <items count="8">
        <item x="5"/>
        <item x="4"/>
        <item x="1"/>
        <item x="3"/>
        <item x="6"/>
        <item x="2"/>
        <item x="0"/>
        <item t="default"/>
      </items>
    </pivotField>
    <pivotField dataField="1" showAll="0"/>
  </pivotFields>
  <rowFields count="1">
    <field x="0"/>
  </rowFields>
  <rowItems count="8">
    <i>
      <x/>
    </i>
    <i>
      <x v="1"/>
    </i>
    <i>
      <x v="2"/>
    </i>
    <i>
      <x v="3"/>
    </i>
    <i>
      <x v="4"/>
    </i>
    <i>
      <x v="5"/>
    </i>
    <i>
      <x v="6"/>
    </i>
    <i t="grand">
      <x/>
    </i>
  </rowItems>
  <colItems count="1">
    <i/>
  </colItems>
  <dataFields count="1">
    <dataField name="Sum of Amount(kg/ltr)" fld="1" baseField="0" baseItem="0"/>
  </dataFields>
  <chartFormats count="8">
    <chartFormat chart="1"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pivotArea type="data" outline="0" fieldPosition="0">
        <references count="2">
          <reference field="4294967294" count="1" selected="0">
            <x v="0"/>
          </reference>
          <reference field="0" count="1" selected="0">
            <x v="2"/>
          </reference>
        </references>
      </pivotArea>
    </chartFormat>
    <chartFormat chart="6" format="12">
      <pivotArea type="data" outline="0" fieldPosition="0">
        <references count="2">
          <reference field="4294967294" count="1" selected="0">
            <x v="0"/>
          </reference>
          <reference field="0" count="1" selected="0">
            <x v="3"/>
          </reference>
        </references>
      </pivotArea>
    </chartFormat>
    <chartFormat chart="6" format="13">
      <pivotArea type="data" outline="0" fieldPosition="0">
        <references count="2">
          <reference field="4294967294" count="1" selected="0">
            <x v="0"/>
          </reference>
          <reference field="0" count="1" selected="0">
            <x v="4"/>
          </reference>
        </references>
      </pivotArea>
    </chartFormat>
    <chartFormat chart="6" format="14">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A01328C2-488C-44DC-A015-AAA11F5E8046}" sourceName="Months (Date)">
  <pivotTables>
    <pivotTable tabId="21" name="PivotTable32"/>
  </pivotTables>
  <data>
    <tabular pivotCacheId="1086809973">
      <items count="14">
        <i x="4"/>
        <i x="5"/>
        <i x="6"/>
        <i x="7" s="1"/>
        <i x="8"/>
        <i x="9"/>
        <i x="10"/>
        <i x="1" nd="1"/>
        <i x="2" nd="1"/>
        <i x="3" nd="1"/>
        <i x="11" nd="1"/>
        <i x="12" nd="1"/>
        <i x="0"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9FF18CA0-0090-4D62-A3DE-AA5D926878EC}" sourceName="Date">
  <pivotTables>
    <pivotTable tabId="23" name="PivotTable35"/>
  </pivotTables>
  <data>
    <tabular pivotCacheId="1086809973">
      <items count="208">
        <i x="0"/>
        <i x="2"/>
        <i x="3"/>
        <i x="4"/>
        <i x="5"/>
        <i x="6"/>
        <i x="7"/>
        <i x="8"/>
        <i x="9"/>
        <i x="10"/>
        <i x="11"/>
        <i x="12"/>
        <i x="13"/>
        <i x="14"/>
        <i x="15"/>
        <i x="16"/>
        <i x="17"/>
        <i x="18"/>
        <i x="19"/>
        <i x="20" s="1"/>
        <i x="21"/>
        <i x="22"/>
        <i x="23"/>
        <i x="24"/>
        <i x="25"/>
        <i x="26"/>
        <i x="27"/>
        <i x="28"/>
        <i x="29"/>
        <i x="30"/>
        <i x="31"/>
        <i x="32"/>
        <i x="33"/>
        <i x="34"/>
        <i x="35"/>
        <i x="36"/>
        <i x="37"/>
        <i x="38"/>
        <i x="39"/>
        <i x="40"/>
        <i x="41"/>
        <i x="42"/>
        <i x="43"/>
        <i x="44"/>
        <i x="45"/>
        <i x="46"/>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111"/>
        <i x="112"/>
        <i x="113"/>
        <i x="114"/>
        <i x="115"/>
        <i x="116"/>
        <i x="117"/>
        <i x="118"/>
        <i x="119"/>
        <i x="120"/>
        <i x="121"/>
        <i x="122"/>
        <i x="123"/>
        <i x="124"/>
        <i x="125"/>
        <i x="126"/>
        <i x="127"/>
        <i x="128"/>
        <i x="129"/>
        <i x="130"/>
        <i x="131"/>
        <i x="132"/>
        <i x="133"/>
        <i x="134"/>
        <i x="135"/>
        <i x="136"/>
        <i x="137"/>
        <i x="138"/>
        <i x="139"/>
        <i x="140"/>
        <i x="141"/>
        <i x="142"/>
        <i x="143"/>
        <i x="144"/>
        <i x="145"/>
        <i x="146"/>
        <i x="147"/>
        <i x="148"/>
        <i x="149"/>
        <i x="150"/>
        <i x="151"/>
        <i x="152"/>
        <i x="153"/>
        <i x="154"/>
        <i x="155"/>
        <i x="156"/>
        <i x="157"/>
        <i x="158"/>
        <i x="159"/>
        <i x="160"/>
        <i x="161"/>
        <i x="162"/>
        <i x="163"/>
        <i x="164"/>
        <i x="165"/>
        <i x="166"/>
        <i x="167"/>
        <i x="168"/>
        <i x="169"/>
        <i x="170"/>
        <i x="171"/>
        <i x="172"/>
        <i x="173"/>
        <i x="174"/>
        <i x="175"/>
        <i x="176"/>
        <i x="177"/>
        <i x="178"/>
        <i x="179"/>
        <i x="180"/>
        <i x="181"/>
        <i x="182"/>
        <i x="183"/>
        <i x="184"/>
        <i x="185"/>
        <i x="186"/>
        <i x="187"/>
        <i x="188"/>
        <i x="189"/>
        <i x="190"/>
        <i x="191"/>
        <i x="192"/>
        <i x="193"/>
        <i x="194"/>
        <i x="195"/>
        <i x="196"/>
        <i x="197"/>
        <i x="198"/>
        <i x="199"/>
        <i x="200"/>
        <i x="201"/>
        <i x="202"/>
        <i x="203"/>
        <i x="204"/>
        <i x="205"/>
        <i x="206"/>
        <i x="207"/>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_Alum__Kg_2" xr10:uid="{9AB6D435-8940-4F2B-A426-10A56D8BF069}" sourceName="S/Alum (Kg)2">
  <pivotTables>
    <pivotTable tabId="21" name="PivotTable32"/>
  </pivotTables>
  <data>
    <tabular pivotCacheId="1086809973">
      <items count="92">
        <i x="62" s="1"/>
        <i x="61" s="1"/>
        <i x="59" s="1"/>
        <i x="58" s="1"/>
        <i x="56" s="1"/>
        <i x="60" s="1"/>
        <i x="55" s="1"/>
        <i x="43" s="1"/>
        <i x="57" s="1"/>
        <i x="29" s="1"/>
        <i x="45" s="1"/>
        <i x="49" s="1"/>
        <i x="44" s="1"/>
        <i x="27" s="1"/>
        <i x="48" s="1"/>
        <i x="46" s="1"/>
        <i x="31" s="1"/>
        <i x="47" s="1"/>
        <i x="25" s="1"/>
        <i x="54" s="1"/>
        <i x="51" s="1"/>
        <i x="13" s="1"/>
        <i x="50" s="1"/>
        <i x="24" s="1"/>
        <i x="52" s="1"/>
        <i x="7" s="1"/>
        <i x="53" s="1"/>
        <i x="79" s="1" nd="1"/>
        <i x="77" s="1" nd="1"/>
        <i x="72" s="1" nd="1"/>
        <i x="76" s="1" nd="1"/>
        <i x="70" s="1" nd="1"/>
        <i x="71" s="1" nd="1"/>
        <i x="63" s="1" nd="1"/>
        <i x="89" s="1" nd="1"/>
        <i x="88" s="1" nd="1"/>
        <i x="81" s="1" nd="1"/>
        <i x="42" s="1" nd="1"/>
        <i x="87" s="1" nd="1"/>
        <i x="66" s="1" nd="1"/>
        <i x="86" s="1" nd="1"/>
        <i x="84" s="1" nd="1"/>
        <i x="85" s="1" nd="1"/>
        <i x="82" s="1" nd="1"/>
        <i x="73" s="1" nd="1"/>
        <i x="64" s="1" nd="1"/>
        <i x="83" s="1" nd="1"/>
        <i x="68" s="1" nd="1"/>
        <i x="75" s="1" nd="1"/>
        <i x="78" s="1" nd="1"/>
        <i x="30" s="1" nd="1"/>
        <i x="80" s="1" nd="1"/>
        <i x="74" s="1" nd="1"/>
        <i x="28" s="1" nd="1"/>
        <i x="26" s="1" nd="1"/>
        <i x="67" s="1" nd="1"/>
        <i x="69" s="1" nd="1"/>
        <i x="65" s="1" nd="1"/>
        <i x="39" s="1" nd="1"/>
        <i x="32" s="1" nd="1"/>
        <i x="90" s="1" nd="1"/>
        <i x="37" s="1" nd="1"/>
        <i x="91" s="1" nd="1"/>
        <i x="23" s="1" nd="1"/>
        <i x="20" s="1" nd="1"/>
        <i x="17" s="1" nd="1"/>
        <i x="40" s="1" nd="1"/>
        <i x="14" s="1" nd="1"/>
        <i x="15" s="1" nd="1"/>
        <i x="19" s="1" nd="1"/>
        <i x="41" s="1" nd="1"/>
        <i x="16" s="1" nd="1"/>
        <i x="38" s="1" nd="1"/>
        <i x="18" s="1" nd="1"/>
        <i x="21" s="1" nd="1"/>
        <i x="34" s="1" nd="1"/>
        <i x="33" s="1" nd="1"/>
        <i x="12" s="1" nd="1"/>
        <i x="11" s="1" nd="1"/>
        <i x="0" s="1" nd="1"/>
        <i x="5" s="1" nd="1"/>
        <i x="10" s="1" nd="1"/>
        <i x="2" s="1" nd="1"/>
        <i x="3" s="1" nd="1"/>
        <i x="4" s="1" nd="1"/>
        <i x="9" s="1" nd="1"/>
        <i x="6" s="1" nd="1"/>
        <i x="36" s="1" nd="1"/>
        <i x="8" s="1" nd="1"/>
        <i x="35" s="1" nd="1"/>
        <i x="22" s="1" nd="1"/>
        <i x="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_Alum_Litre_2" xr10:uid="{6DB05D18-D918-47D2-A02B-38426CB4C8B7}" sourceName="L/Alum(Litre)2">
  <pivotTables>
    <pivotTable tabId="21" name="PivotTable32"/>
  </pivotTables>
  <data>
    <tabular pivotCacheId="1086809973">
      <items count="97">
        <i x="2" s="1"/>
        <i x="6" s="1"/>
        <i x="12" s="1"/>
        <i x="10" s="1"/>
        <i x="8" s="1"/>
        <i x="7" s="1"/>
        <i x="13" s="1"/>
        <i x="9" s="1"/>
        <i x="11" s="1"/>
        <i x="3" s="1" nd="1"/>
        <i x="5" s="1" nd="1"/>
        <i x="4" s="1" nd="1"/>
        <i x="96" s="1" nd="1"/>
        <i x="33" s="1" nd="1"/>
        <i x="28" s="1" nd="1"/>
        <i x="95" s="1" nd="1"/>
        <i x="94" s="1" nd="1"/>
        <i x="70" s="1" nd="1"/>
        <i x="24" s="1" nd="1"/>
        <i x="71" s="1" nd="1"/>
        <i x="68" s="1" nd="1"/>
        <i x="69" s="1" nd="1"/>
        <i x="93" s="1" nd="1"/>
        <i x="54" s="1" nd="1"/>
        <i x="23" s="1" nd="1"/>
        <i x="19" s="1" nd="1"/>
        <i x="53" s="1" nd="1"/>
        <i x="25" s="1" nd="1"/>
        <i x="57" s="1" nd="1"/>
        <i x="87" s="1" nd="1"/>
        <i x="89" s="1" nd="1"/>
        <i x="83" s="1" nd="1"/>
        <i x="88" s="1" nd="1"/>
        <i x="90" s="1" nd="1"/>
        <i x="65" s="1" nd="1"/>
        <i x="34" s="1" nd="1"/>
        <i x="81" s="1" nd="1"/>
        <i x="21" s="1" nd="1"/>
        <i x="82" s="1" nd="1"/>
        <i x="56" s="1" nd="1"/>
        <i x="84" s="1" nd="1"/>
        <i x="64" s="1" nd="1"/>
        <i x="32" s="1" nd="1"/>
        <i x="91" s="1" nd="1"/>
        <i x="73" s="1" nd="1"/>
        <i x="92" s="1" nd="1"/>
        <i x="22" s="1" nd="1"/>
        <i x="49" s="1" nd="1"/>
        <i x="85" s="1" nd="1"/>
        <i x="48" s="1" nd="1"/>
        <i x="58" s="1" nd="1"/>
        <i x="47" s="1" nd="1"/>
        <i x="29" s="1" nd="1"/>
        <i x="86" s="1" nd="1"/>
        <i x="67" s="1" nd="1"/>
        <i x="30" s="1" nd="1"/>
        <i x="35" s="1" nd="1"/>
        <i x="38" s="1" nd="1"/>
        <i x="27" s="1" nd="1"/>
        <i x="52" s="1" nd="1"/>
        <i x="75" s="1" nd="1"/>
        <i x="43" s="1" nd="1"/>
        <i x="51" s="1" nd="1"/>
        <i x="41" s="1" nd="1"/>
        <i x="80" s="1" nd="1"/>
        <i x="17" s="1" nd="1"/>
        <i x="72" s="1" nd="1"/>
        <i x="42" s="1" nd="1"/>
        <i x="44" s="1" nd="1"/>
        <i x="36" s="1" nd="1"/>
        <i x="37" s="1" nd="1"/>
        <i x="15" s="1" nd="1"/>
        <i x="55" s="1" nd="1"/>
        <i x="79" s="1" nd="1"/>
        <i x="76" s="1" nd="1"/>
        <i x="50" s="1" nd="1"/>
        <i x="40" s="1" nd="1"/>
        <i x="78" s="1" nd="1"/>
        <i x="74" s="1" nd="1"/>
        <i x="77" s="1" nd="1"/>
        <i x="66" s="1" nd="1"/>
        <i x="63" s="1" nd="1"/>
        <i x="20" s="1" nd="1"/>
        <i x="45" s="1" nd="1"/>
        <i x="26" s="1" nd="1"/>
        <i x="62" s="1" nd="1"/>
        <i x="31" s="1" nd="1"/>
        <i x="46" s="1" nd="1"/>
        <i x="60" s="1" nd="1"/>
        <i x="61" s="1" nd="1"/>
        <i x="18" s="1" nd="1"/>
        <i x="14" s="1" nd="1"/>
        <i x="59" s="1" nd="1"/>
        <i x="39" s="1" nd="1"/>
        <i x="16" s="1" nd="1"/>
        <i x="0" s="1" nd="1"/>
        <i x="1"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_Alum__Kg" xr10:uid="{0A516255-0122-43B7-B6FC-CA87279FDB1B}" sourceName="S/Alum (Kg)">
  <pivotTables>
    <pivotTable tabId="25" name="PivotTable37"/>
  </pivotTables>
  <data>
    <tabular pivotCacheId="1086809973">
      <items count="57">
        <i x="42" s="1"/>
        <i x="46" s="1"/>
        <i x="47" s="1"/>
        <i x="48" s="1"/>
        <i x="44" s="1"/>
        <i x="52" s="1"/>
        <i x="33" s="1"/>
        <i x="53" s="1"/>
        <i x="51" s="1"/>
        <i x="50" s="1"/>
        <i x="43" s="1"/>
        <i x="45" s="1"/>
        <i x="27" s="1"/>
        <i x="24" s="1"/>
        <i x="39" s="1"/>
        <i x="25" s="1"/>
        <i x="38" s="1"/>
        <i x="26" s="1"/>
        <i x="35" s="1"/>
        <i x="55" s="1"/>
        <i x="23" s="1"/>
        <i x="21" s="1"/>
        <i x="37" s="1"/>
        <i x="49" s="1"/>
        <i x="28" s="1"/>
        <i x="34" s="1"/>
        <i x="19" s="1"/>
        <i x="36" s="1"/>
        <i x="11" s="1"/>
        <i x="12" s="1"/>
        <i x="22" s="1"/>
        <i x="32" s="1"/>
        <i x="16" s="1"/>
        <i x="14" s="1"/>
        <i x="31" s="1"/>
        <i x="54" s="1"/>
        <i x="13" s="1"/>
        <i x="30" s="1"/>
        <i x="56" s="1"/>
        <i x="6" s="1"/>
        <i x="17" s="1"/>
        <i x="20" s="1"/>
        <i x="15" s="1"/>
        <i x="10" s="1"/>
        <i x="40" s="1"/>
        <i x="41" s="1"/>
        <i x="2" s="1"/>
        <i x="5" s="1"/>
        <i x="0" s="1"/>
        <i x="1" s="1"/>
        <i x="9" s="1"/>
        <i x="3" s="1"/>
        <i x="4" s="1"/>
        <i x="8" s="1"/>
        <i x="29" s="1"/>
        <i x="7" s="1"/>
        <i x="1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emicals" xr10:uid="{F099F5E5-CC64-484E-A450-E4AC0B862F21}" sourceName="Chemicals ">
  <pivotTables>
    <pivotTable tabId="29" name="PivotTable2"/>
  </pivotTables>
  <data>
    <tabular pivotCacheId="1133857598">
      <items count="7">
        <i x="5" s="1"/>
        <i x="4" s="1"/>
        <i x="1" s="1"/>
        <i x="3" s="1"/>
        <i x="6"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AA479CDE-FDF9-4598-9360-D82C53B2C2E3}" cache="Slicer_Months__Date" caption="Months (Date)" columnCount="4" style="SlicerStyleLight4" rowHeight="234950"/>
  <slicer name="Date" xr10:uid="{472C5782-CBF1-4625-A337-178909A7CEE9}" cache="Slicer_Date" caption="Date" startItem="12" columnCount="4" style="SlicerStyleLight4" rowHeight="234950"/>
  <slicer name="Chemicals  1" xr10:uid="{F5E564F2-3DB9-4A52-BAE1-4868DDE40AB0}" cache="Slicer_Chemicals" caption="Chemicals " columnCount="3"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48882147-2E2F-49B3-B30C-3DB306496351}" cache="Slicer_Date" caption="Date" columnCount="3" rowHeight="234950"/>
  <slicer name="S/Alum (Kg)2" xr10:uid="{2F256483-E058-4769-94DF-85A680804100}" cache="Slicer_S_Alum__Kg_2" caption="S/Alum (Kg)2" rowHeight="234950"/>
  <slicer name="L/Alum(Litre)2" xr10:uid="{DB172A86-673D-4BC7-9AF0-EB9051A17B62}" cache="Slicer_L_Alum_Litre_2" caption="L/Alum(Litre)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um (Kg)" xr10:uid="{0BA9FD5B-7659-4A28-B717-BB5104769A9A}" cache="Slicer_S_Alum__Kg" caption="S/Alum (Kg)"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emicals " xr10:uid="{B8C1D1C7-3381-4CF0-831D-B016F6D8EDB9}" cache="Slicer_Chemicals" caption="Chemicals " columnCount="3" style="SlicerStyleLigh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3A51C-DCCD-4706-BB4B-52ACAF9558B4}">
  <dimension ref="A1:AH43"/>
  <sheetViews>
    <sheetView showGridLines="0" tabSelected="1" zoomScale="65" zoomScaleNormal="70" workbookViewId="0">
      <selection activeCell="F22" sqref="F22"/>
    </sheetView>
  </sheetViews>
  <sheetFormatPr defaultRowHeight="14.4" x14ac:dyDescent="0.3"/>
  <cols>
    <col min="1" max="1" width="13.6640625" bestFit="1" customWidth="1"/>
    <col min="2" max="2" width="18.88671875" bestFit="1" customWidth="1"/>
    <col min="3" max="3" width="19.88671875" bestFit="1" customWidth="1"/>
    <col min="4" max="4" width="17.5546875" bestFit="1" customWidth="1"/>
    <col min="5" max="5" width="18.88671875" bestFit="1" customWidth="1"/>
    <col min="6" max="6" width="19.5546875" bestFit="1" customWidth="1"/>
    <col min="7" max="7" width="15.5546875" bestFit="1" customWidth="1"/>
    <col min="8" max="8" width="19.33203125" bestFit="1" customWidth="1"/>
  </cols>
  <sheetData>
    <row r="1" spans="1:34" x14ac:dyDescent="0.3">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row>
    <row r="2" spans="1:34" x14ac:dyDescent="0.3">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row>
    <row r="3" spans="1:34" x14ac:dyDescent="0.3">
      <c r="E3" s="20"/>
      <c r="F3" s="20"/>
    </row>
    <row r="4" spans="1:34" x14ac:dyDescent="0.3">
      <c r="E4" s="20"/>
      <c r="F4" s="20"/>
    </row>
    <row r="5" spans="1:34" x14ac:dyDescent="0.3">
      <c r="B5" s="18" t="s">
        <v>43</v>
      </c>
      <c r="E5" s="20"/>
      <c r="F5" s="20"/>
    </row>
    <row r="6" spans="1:34" x14ac:dyDescent="0.3">
      <c r="E6" s="20"/>
      <c r="F6" s="20"/>
    </row>
    <row r="7" spans="1:34" x14ac:dyDescent="0.3">
      <c r="E7" s="20"/>
      <c r="F7" s="20"/>
    </row>
    <row r="8" spans="1:34" x14ac:dyDescent="0.3">
      <c r="E8" s="20"/>
      <c r="F8" s="20"/>
    </row>
    <row r="9" spans="1:34" x14ac:dyDescent="0.3">
      <c r="E9" s="20"/>
      <c r="F9" s="20"/>
    </row>
    <row r="10" spans="1:34" x14ac:dyDescent="0.3">
      <c r="E10" s="20"/>
      <c r="F10" s="20"/>
    </row>
    <row r="11" spans="1:34" x14ac:dyDescent="0.3">
      <c r="E11" s="20"/>
      <c r="F11" s="20"/>
    </row>
    <row r="12" spans="1:34" x14ac:dyDescent="0.3">
      <c r="E12" s="20"/>
      <c r="F12" s="20"/>
    </row>
    <row r="13" spans="1:34" x14ac:dyDescent="0.3">
      <c r="E13" s="20"/>
      <c r="F13" s="20"/>
    </row>
    <row r="26" spans="7:7" x14ac:dyDescent="0.3">
      <c r="G26" t="s">
        <v>43</v>
      </c>
    </row>
    <row r="35" spans="1:8" x14ac:dyDescent="0.3">
      <c r="A35" s="6" t="s">
        <v>13</v>
      </c>
      <c r="B35" t="s">
        <v>36</v>
      </c>
      <c r="C35" t="s">
        <v>37</v>
      </c>
      <c r="D35" t="s">
        <v>38</v>
      </c>
      <c r="E35" t="s">
        <v>39</v>
      </c>
      <c r="F35" t="s">
        <v>40</v>
      </c>
      <c r="G35" t="s">
        <v>41</v>
      </c>
      <c r="H35" t="s">
        <v>42</v>
      </c>
    </row>
    <row r="36" spans="1:8" x14ac:dyDescent="0.3">
      <c r="A36" s="4" t="s">
        <v>18</v>
      </c>
      <c r="B36">
        <v>62720</v>
      </c>
      <c r="C36">
        <v>0</v>
      </c>
      <c r="D36">
        <v>0</v>
      </c>
      <c r="E36">
        <v>0</v>
      </c>
      <c r="F36">
        <v>15251</v>
      </c>
      <c r="G36">
        <v>17700</v>
      </c>
      <c r="H36">
        <v>1920</v>
      </c>
    </row>
    <row r="37" spans="1:8" x14ac:dyDescent="0.3">
      <c r="A37" s="4" t="s">
        <v>19</v>
      </c>
      <c r="B37">
        <v>66640</v>
      </c>
      <c r="C37">
        <v>0</v>
      </c>
      <c r="D37">
        <v>0</v>
      </c>
      <c r="E37">
        <v>0</v>
      </c>
      <c r="F37">
        <v>27047</v>
      </c>
      <c r="G37">
        <v>21300</v>
      </c>
      <c r="H37">
        <v>1890</v>
      </c>
    </row>
    <row r="38" spans="1:8" x14ac:dyDescent="0.3">
      <c r="A38" s="4" t="s">
        <v>34</v>
      </c>
      <c r="B38">
        <v>61890</v>
      </c>
      <c r="C38">
        <v>3600</v>
      </c>
      <c r="D38">
        <v>12200</v>
      </c>
      <c r="E38">
        <v>17000</v>
      </c>
      <c r="F38">
        <v>25574</v>
      </c>
      <c r="G38">
        <v>33100</v>
      </c>
      <c r="H38">
        <v>7205</v>
      </c>
    </row>
    <row r="39" spans="1:8" x14ac:dyDescent="0.3">
      <c r="A39" s="4" t="s">
        <v>35</v>
      </c>
      <c r="B39">
        <v>35110</v>
      </c>
      <c r="C39">
        <v>50623</v>
      </c>
      <c r="D39">
        <v>23600</v>
      </c>
      <c r="E39">
        <v>61834</v>
      </c>
      <c r="F39">
        <v>24919</v>
      </c>
      <c r="G39">
        <v>23950</v>
      </c>
      <c r="H39">
        <v>10185</v>
      </c>
    </row>
    <row r="40" spans="1:8" x14ac:dyDescent="0.3">
      <c r="A40" s="4" t="s">
        <v>22</v>
      </c>
      <c r="B40">
        <v>22200</v>
      </c>
      <c r="C40">
        <v>208494</v>
      </c>
      <c r="D40">
        <v>36950</v>
      </c>
      <c r="E40">
        <v>119263</v>
      </c>
      <c r="F40">
        <v>17552</v>
      </c>
      <c r="G40">
        <v>0</v>
      </c>
      <c r="H40">
        <v>0</v>
      </c>
    </row>
    <row r="41" spans="1:8" x14ac:dyDescent="0.3">
      <c r="A41" s="4" t="s">
        <v>23</v>
      </c>
      <c r="B41">
        <v>16520</v>
      </c>
      <c r="C41">
        <v>192476</v>
      </c>
      <c r="D41">
        <v>1000</v>
      </c>
      <c r="E41">
        <v>62432</v>
      </c>
      <c r="F41">
        <v>14984</v>
      </c>
      <c r="G41">
        <v>0</v>
      </c>
      <c r="H41">
        <v>1210</v>
      </c>
    </row>
    <row r="42" spans="1:8" x14ac:dyDescent="0.3">
      <c r="A42" s="4" t="s">
        <v>24</v>
      </c>
      <c r="B42">
        <v>28072</v>
      </c>
      <c r="C42">
        <v>154783</v>
      </c>
      <c r="D42">
        <v>0</v>
      </c>
      <c r="E42">
        <v>20052</v>
      </c>
      <c r="F42">
        <v>14266</v>
      </c>
      <c r="G42">
        <v>0</v>
      </c>
      <c r="H42">
        <v>0</v>
      </c>
    </row>
    <row r="43" spans="1:8" x14ac:dyDescent="0.3">
      <c r="A43" s="4" t="s">
        <v>14</v>
      </c>
      <c r="B43">
        <v>293152</v>
      </c>
      <c r="C43">
        <v>609976</v>
      </c>
      <c r="D43">
        <v>73750</v>
      </c>
      <c r="E43">
        <v>280581</v>
      </c>
      <c r="F43">
        <v>139593</v>
      </c>
      <c r="G43">
        <v>96050</v>
      </c>
      <c r="H43">
        <v>22410</v>
      </c>
    </row>
  </sheetData>
  <mergeCells count="3">
    <mergeCell ref="A1:AH2"/>
    <mergeCell ref="E3:F3"/>
    <mergeCell ref="E4:F1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19DF7-A09E-48D3-9C81-20DB72E63E26}">
  <dimension ref="A3:H5"/>
  <sheetViews>
    <sheetView zoomScale="87" workbookViewId="0">
      <selection activeCell="I21" sqref="I21"/>
    </sheetView>
  </sheetViews>
  <sheetFormatPr defaultRowHeight="14.4" x14ac:dyDescent="0.3"/>
  <cols>
    <col min="1" max="1" width="13.109375" bestFit="1" customWidth="1"/>
    <col min="2" max="2" width="19.21875" bestFit="1" customWidth="1"/>
    <col min="3" max="3" width="20.44140625" bestFit="1" customWidth="1"/>
    <col min="4" max="4" width="17.77734375" bestFit="1" customWidth="1"/>
    <col min="5" max="5" width="19.21875" bestFit="1" customWidth="1"/>
    <col min="6" max="6" width="20" bestFit="1" customWidth="1"/>
    <col min="7" max="7" width="15.77734375" bestFit="1" customWidth="1"/>
    <col min="8" max="8" width="19.88671875" bestFit="1" customWidth="1"/>
  </cols>
  <sheetData>
    <row r="3" spans="1:8" x14ac:dyDescent="0.3">
      <c r="A3" s="6" t="s">
        <v>13</v>
      </c>
      <c r="B3" t="s">
        <v>36</v>
      </c>
      <c r="C3" t="s">
        <v>37</v>
      </c>
      <c r="D3" t="s">
        <v>38</v>
      </c>
      <c r="E3" t="s">
        <v>39</v>
      </c>
      <c r="F3" t="s">
        <v>40</v>
      </c>
      <c r="G3" t="s">
        <v>41</v>
      </c>
      <c r="H3" t="s">
        <v>42</v>
      </c>
    </row>
    <row r="4" spans="1:8" x14ac:dyDescent="0.3">
      <c r="A4" s="4" t="s">
        <v>35</v>
      </c>
      <c r="B4">
        <v>35110</v>
      </c>
      <c r="C4">
        <v>50623</v>
      </c>
      <c r="D4">
        <v>23600</v>
      </c>
      <c r="E4">
        <v>61834</v>
      </c>
      <c r="F4">
        <v>24919</v>
      </c>
      <c r="G4">
        <v>23950</v>
      </c>
      <c r="H4">
        <v>10185</v>
      </c>
    </row>
    <row r="5" spans="1:8" x14ac:dyDescent="0.3">
      <c r="A5" s="4" t="s">
        <v>14</v>
      </c>
      <c r="B5">
        <v>35110</v>
      </c>
      <c r="C5">
        <v>50623</v>
      </c>
      <c r="D5">
        <v>23600</v>
      </c>
      <c r="E5">
        <v>61834</v>
      </c>
      <c r="F5">
        <v>24919</v>
      </c>
      <c r="G5">
        <v>23950</v>
      </c>
      <c r="H5">
        <v>10185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61A78-C1B4-40F9-B365-85A0071942AF}">
  <dimension ref="A3:H5"/>
  <sheetViews>
    <sheetView topLeftCell="B1" zoomScale="68" workbookViewId="0">
      <selection activeCell="F29" sqref="F29:H30"/>
    </sheetView>
  </sheetViews>
  <sheetFormatPr defaultRowHeight="14.4" x14ac:dyDescent="0.3"/>
  <cols>
    <col min="1" max="1" width="14.33203125" bestFit="1" customWidth="1"/>
    <col min="2" max="2" width="19.88671875" bestFit="1" customWidth="1"/>
    <col min="3" max="3" width="21.5546875" bestFit="1" customWidth="1"/>
    <col min="4" max="4" width="18.21875" bestFit="1" customWidth="1"/>
    <col min="5" max="5" width="20.33203125" bestFit="1" customWidth="1"/>
    <col min="6" max="6" width="20.6640625" bestFit="1" customWidth="1"/>
    <col min="7" max="7" width="16.33203125" bestFit="1" customWidth="1"/>
    <col min="8" max="8" width="20.88671875" bestFit="1" customWidth="1"/>
  </cols>
  <sheetData>
    <row r="3" spans="1:8" x14ac:dyDescent="0.3">
      <c r="A3" s="6" t="s">
        <v>13</v>
      </c>
      <c r="B3" t="s">
        <v>36</v>
      </c>
      <c r="C3" t="s">
        <v>37</v>
      </c>
      <c r="D3" t="s">
        <v>38</v>
      </c>
      <c r="E3" t="s">
        <v>39</v>
      </c>
      <c r="F3" t="s">
        <v>40</v>
      </c>
      <c r="G3" t="s">
        <v>41</v>
      </c>
      <c r="H3" t="s">
        <v>42</v>
      </c>
    </row>
    <row r="4" spans="1:8" x14ac:dyDescent="0.3">
      <c r="A4" s="4" t="s">
        <v>18</v>
      </c>
      <c r="B4">
        <v>2700</v>
      </c>
      <c r="C4">
        <v>0</v>
      </c>
      <c r="D4">
        <v>0</v>
      </c>
      <c r="E4">
        <v>0</v>
      </c>
      <c r="F4">
        <v>664</v>
      </c>
      <c r="G4">
        <v>950</v>
      </c>
      <c r="H4">
        <v>0</v>
      </c>
    </row>
    <row r="5" spans="1:8" x14ac:dyDescent="0.3">
      <c r="A5" s="4" t="s">
        <v>14</v>
      </c>
      <c r="B5">
        <v>2700</v>
      </c>
      <c r="C5">
        <v>0</v>
      </c>
      <c r="D5">
        <v>0</v>
      </c>
      <c r="E5">
        <v>0</v>
      </c>
      <c r="F5">
        <v>664</v>
      </c>
      <c r="G5">
        <v>950</v>
      </c>
      <c r="H5">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ABD05-E1B0-4AE4-A0B3-485D0599FF0C}">
  <dimension ref="A1:K20"/>
  <sheetViews>
    <sheetView topLeftCell="B1" workbookViewId="0">
      <selection activeCell="E3" sqref="E3"/>
    </sheetView>
  </sheetViews>
  <sheetFormatPr defaultRowHeight="14.4" x14ac:dyDescent="0.3"/>
  <cols>
    <col min="1" max="1" width="12.5546875" bestFit="1" customWidth="1"/>
    <col min="2" max="2" width="18.88671875" bestFit="1" customWidth="1"/>
    <col min="4" max="4" width="10.109375" customWidth="1"/>
    <col min="5" max="5" width="17.88671875" bestFit="1" customWidth="1"/>
    <col min="6" max="6" width="18.88671875" bestFit="1" customWidth="1"/>
    <col min="7" max="7" width="16.44140625" bestFit="1" customWidth="1"/>
    <col min="8" max="8" width="17.88671875" bestFit="1" customWidth="1"/>
    <col min="9" max="9" width="18.5546875" bestFit="1" customWidth="1"/>
    <col min="10" max="10" width="14.5546875" bestFit="1" customWidth="1"/>
    <col min="11" max="11" width="18.33203125" bestFit="1" customWidth="1"/>
    <col min="12" max="12" width="19.5546875" bestFit="1" customWidth="1"/>
    <col min="13" max="13" width="15.5546875" bestFit="1" customWidth="1"/>
    <col min="14" max="14" width="19.33203125" bestFit="1" customWidth="1"/>
    <col min="15" max="15" width="19.5546875" bestFit="1" customWidth="1"/>
    <col min="16" max="16" width="15.5546875" bestFit="1" customWidth="1"/>
    <col min="17" max="17" width="19.33203125" bestFit="1" customWidth="1"/>
    <col min="18" max="18" width="19.5546875" bestFit="1" customWidth="1"/>
    <col min="19" max="19" width="15.5546875" bestFit="1" customWidth="1"/>
    <col min="20" max="20" width="19.33203125" bestFit="1" customWidth="1"/>
    <col min="21" max="21" width="19.5546875" bestFit="1" customWidth="1"/>
    <col min="22" max="22" width="15.5546875" bestFit="1" customWidth="1"/>
    <col min="23" max="23" width="19.33203125" bestFit="1" customWidth="1"/>
    <col min="24" max="24" width="19.5546875" bestFit="1" customWidth="1"/>
    <col min="25" max="25" width="15.5546875" bestFit="1" customWidth="1"/>
    <col min="26" max="26" width="19.33203125" bestFit="1" customWidth="1"/>
    <col min="27" max="27" width="19.5546875" bestFit="1" customWidth="1"/>
    <col min="28" max="28" width="15.5546875" bestFit="1" customWidth="1"/>
    <col min="29" max="29" width="19.33203125" bestFit="1" customWidth="1"/>
    <col min="30" max="30" width="19.5546875" bestFit="1" customWidth="1"/>
    <col min="31" max="31" width="15.5546875" bestFit="1" customWidth="1"/>
    <col min="32" max="32" width="19.33203125" bestFit="1" customWidth="1"/>
    <col min="33" max="33" width="19.5546875" bestFit="1" customWidth="1"/>
    <col min="34" max="34" width="15.5546875" bestFit="1" customWidth="1"/>
    <col min="35" max="35" width="19.33203125" bestFit="1" customWidth="1"/>
    <col min="36" max="36" width="19.5546875" bestFit="1" customWidth="1"/>
    <col min="37" max="37" width="15.5546875" bestFit="1" customWidth="1"/>
    <col min="38" max="38" width="19.33203125" bestFit="1" customWidth="1"/>
    <col min="39" max="39" width="19.5546875" bestFit="1" customWidth="1"/>
    <col min="40" max="40" width="15.5546875" bestFit="1" customWidth="1"/>
    <col min="41" max="41" width="19.33203125" bestFit="1" customWidth="1"/>
    <col min="42" max="42" width="19.5546875" bestFit="1" customWidth="1"/>
    <col min="43" max="43" width="15.5546875" bestFit="1" customWidth="1"/>
    <col min="44" max="44" width="19.33203125" bestFit="1" customWidth="1"/>
    <col min="45" max="45" width="19.5546875" bestFit="1" customWidth="1"/>
    <col min="46" max="46" width="15.5546875" bestFit="1" customWidth="1"/>
    <col min="47" max="47" width="19.33203125" bestFit="1" customWidth="1"/>
    <col min="48" max="48" width="19.5546875" bestFit="1" customWidth="1"/>
    <col min="49" max="49" width="15.5546875" bestFit="1" customWidth="1"/>
    <col min="50" max="50" width="19.33203125" bestFit="1" customWidth="1"/>
    <col min="51" max="51" width="19.5546875" bestFit="1" customWidth="1"/>
    <col min="52" max="52" width="15.5546875" bestFit="1" customWidth="1"/>
    <col min="53" max="53" width="19.33203125" bestFit="1" customWidth="1"/>
    <col min="54" max="54" width="19.5546875" bestFit="1" customWidth="1"/>
    <col min="55" max="55" width="15.5546875" bestFit="1" customWidth="1"/>
    <col min="56" max="56" width="19.33203125" bestFit="1" customWidth="1"/>
    <col min="57" max="57" width="19.5546875" bestFit="1" customWidth="1"/>
    <col min="58" max="58" width="15.5546875" bestFit="1" customWidth="1"/>
    <col min="59" max="59" width="19.33203125" bestFit="1" customWidth="1"/>
    <col min="60" max="60" width="19.5546875" bestFit="1" customWidth="1"/>
    <col min="61" max="61" width="15.5546875" bestFit="1" customWidth="1"/>
    <col min="62" max="62" width="19.33203125" bestFit="1" customWidth="1"/>
    <col min="63" max="63" width="19.5546875" bestFit="1" customWidth="1"/>
    <col min="64" max="64" width="15.5546875" bestFit="1" customWidth="1"/>
    <col min="65" max="65" width="19.33203125" bestFit="1" customWidth="1"/>
    <col min="66" max="66" width="19.5546875" bestFit="1" customWidth="1"/>
    <col min="67" max="67" width="15.5546875" bestFit="1" customWidth="1"/>
    <col min="68" max="68" width="19.33203125" bestFit="1" customWidth="1"/>
    <col min="69" max="69" width="19.5546875" bestFit="1" customWidth="1"/>
    <col min="70" max="70" width="15.5546875" bestFit="1" customWidth="1"/>
    <col min="71" max="71" width="19.33203125" bestFit="1" customWidth="1"/>
    <col min="72" max="72" width="19.5546875" bestFit="1" customWidth="1"/>
    <col min="73" max="73" width="15.5546875" bestFit="1" customWidth="1"/>
    <col min="74" max="74" width="19.33203125" bestFit="1" customWidth="1"/>
    <col min="75" max="75" width="19.5546875" bestFit="1" customWidth="1"/>
    <col min="76" max="76" width="15.5546875" bestFit="1" customWidth="1"/>
    <col min="77" max="77" width="19.33203125" bestFit="1" customWidth="1"/>
    <col min="78" max="78" width="19.5546875" bestFit="1" customWidth="1"/>
    <col min="79" max="79" width="15.5546875" bestFit="1" customWidth="1"/>
    <col min="80" max="80" width="19.33203125" bestFit="1" customWidth="1"/>
    <col min="81" max="81" width="19.5546875" bestFit="1" customWidth="1"/>
    <col min="82" max="82" width="15.5546875" bestFit="1" customWidth="1"/>
    <col min="83" max="83" width="19.33203125" bestFit="1" customWidth="1"/>
    <col min="84" max="84" width="19.5546875" bestFit="1" customWidth="1"/>
    <col min="85" max="85" width="15.5546875" bestFit="1" customWidth="1"/>
    <col min="86" max="86" width="19.33203125" bestFit="1" customWidth="1"/>
    <col min="87" max="87" width="19.5546875" bestFit="1" customWidth="1"/>
    <col min="88" max="88" width="15.5546875" bestFit="1" customWidth="1"/>
    <col min="89" max="89" width="19.33203125" bestFit="1" customWidth="1"/>
    <col min="90" max="90" width="19.5546875" bestFit="1" customWidth="1"/>
    <col min="91" max="91" width="15.5546875" bestFit="1" customWidth="1"/>
    <col min="92" max="92" width="19.33203125" bestFit="1" customWidth="1"/>
    <col min="93" max="93" width="19.5546875" bestFit="1" customWidth="1"/>
    <col min="94" max="94" width="15.5546875" bestFit="1" customWidth="1"/>
    <col min="95" max="95" width="19.33203125" bestFit="1" customWidth="1"/>
    <col min="96" max="96" width="19.5546875" bestFit="1" customWidth="1"/>
    <col min="97" max="97" width="15.5546875" bestFit="1" customWidth="1"/>
    <col min="98" max="98" width="19.33203125" bestFit="1" customWidth="1"/>
    <col min="99" max="99" width="19.5546875" bestFit="1" customWidth="1"/>
    <col min="100" max="100" width="15.5546875" bestFit="1" customWidth="1"/>
    <col min="101" max="101" width="19.33203125" bestFit="1" customWidth="1"/>
    <col min="102" max="102" width="19.5546875" bestFit="1" customWidth="1"/>
    <col min="103" max="103" width="15.5546875" bestFit="1" customWidth="1"/>
    <col min="104" max="104" width="19.33203125" bestFit="1" customWidth="1"/>
    <col min="105" max="105" width="19.5546875" bestFit="1" customWidth="1"/>
    <col min="106" max="106" width="15.5546875" bestFit="1" customWidth="1"/>
    <col min="107" max="107" width="19.33203125" bestFit="1" customWidth="1"/>
    <col min="108" max="108" width="19.5546875" bestFit="1" customWidth="1"/>
    <col min="109" max="109" width="15.5546875" bestFit="1" customWidth="1"/>
    <col min="110" max="110" width="19.33203125" bestFit="1" customWidth="1"/>
    <col min="111" max="111" width="19.5546875" bestFit="1" customWidth="1"/>
    <col min="112" max="112" width="15.5546875" bestFit="1" customWidth="1"/>
    <col min="113" max="113" width="19.33203125" bestFit="1" customWidth="1"/>
    <col min="114" max="114" width="19.5546875" bestFit="1" customWidth="1"/>
    <col min="115" max="115" width="15.5546875" bestFit="1" customWidth="1"/>
    <col min="116" max="116" width="19.33203125" bestFit="1" customWidth="1"/>
    <col min="117" max="117" width="19.5546875" bestFit="1" customWidth="1"/>
    <col min="118" max="118" width="15.5546875" bestFit="1" customWidth="1"/>
    <col min="119" max="119" width="19.33203125" bestFit="1" customWidth="1"/>
    <col min="120" max="120" width="19.5546875" bestFit="1" customWidth="1"/>
    <col min="121" max="121" width="15.5546875" bestFit="1" customWidth="1"/>
    <col min="122" max="122" width="19.33203125" bestFit="1" customWidth="1"/>
    <col min="123" max="123" width="19.5546875" bestFit="1" customWidth="1"/>
    <col min="124" max="124" width="15.5546875" bestFit="1" customWidth="1"/>
    <col min="125" max="125" width="19.33203125" bestFit="1" customWidth="1"/>
    <col min="126" max="126" width="19.5546875" bestFit="1" customWidth="1"/>
    <col min="127" max="127" width="15.5546875" bestFit="1" customWidth="1"/>
    <col min="128" max="128" width="19.33203125" bestFit="1" customWidth="1"/>
    <col min="129" max="129" width="19.5546875" bestFit="1" customWidth="1"/>
    <col min="130" max="130" width="15.5546875" bestFit="1" customWidth="1"/>
    <col min="131" max="131" width="19.33203125" bestFit="1" customWidth="1"/>
    <col min="132" max="132" width="19.5546875" bestFit="1" customWidth="1"/>
    <col min="133" max="133" width="15.5546875" bestFit="1" customWidth="1"/>
    <col min="134" max="134" width="19.33203125" bestFit="1" customWidth="1"/>
    <col min="135" max="135" width="19.5546875" bestFit="1" customWidth="1"/>
    <col min="136" max="136" width="15.5546875" bestFit="1" customWidth="1"/>
    <col min="137" max="137" width="19.33203125" bestFit="1" customWidth="1"/>
    <col min="138" max="138" width="19.5546875" bestFit="1" customWidth="1"/>
    <col min="139" max="139" width="15.5546875" bestFit="1" customWidth="1"/>
    <col min="140" max="140" width="19.33203125" bestFit="1" customWidth="1"/>
    <col min="141" max="141" width="19.5546875" bestFit="1" customWidth="1"/>
    <col min="142" max="142" width="15.5546875" bestFit="1" customWidth="1"/>
    <col min="143" max="143" width="19.33203125" bestFit="1" customWidth="1"/>
    <col min="144" max="144" width="19.5546875" bestFit="1" customWidth="1"/>
    <col min="145" max="145" width="15.5546875" bestFit="1" customWidth="1"/>
    <col min="146" max="146" width="19.33203125" bestFit="1" customWidth="1"/>
    <col min="147" max="147" width="19.5546875" bestFit="1" customWidth="1"/>
    <col min="148" max="148" width="15.5546875" bestFit="1" customWidth="1"/>
    <col min="149" max="149" width="19.33203125" bestFit="1" customWidth="1"/>
    <col min="150" max="150" width="19.5546875" bestFit="1" customWidth="1"/>
    <col min="151" max="151" width="15.5546875" bestFit="1" customWidth="1"/>
    <col min="152" max="152" width="19.33203125" bestFit="1" customWidth="1"/>
    <col min="153" max="153" width="19.5546875" bestFit="1" customWidth="1"/>
    <col min="154" max="154" width="15.5546875" bestFit="1" customWidth="1"/>
    <col min="155" max="155" width="19.33203125" bestFit="1" customWidth="1"/>
    <col min="156" max="156" width="19.5546875" bestFit="1" customWidth="1"/>
    <col min="157" max="157" width="15.5546875" bestFit="1" customWidth="1"/>
    <col min="158" max="158" width="19.33203125" bestFit="1" customWidth="1"/>
    <col min="159" max="159" width="19.5546875" bestFit="1" customWidth="1"/>
    <col min="160" max="160" width="15.5546875" bestFit="1" customWidth="1"/>
    <col min="161" max="161" width="19.33203125" bestFit="1" customWidth="1"/>
    <col min="162" max="162" width="19.5546875" bestFit="1" customWidth="1"/>
    <col min="163" max="163" width="15.5546875" bestFit="1" customWidth="1"/>
    <col min="164" max="164" width="19.33203125" bestFit="1" customWidth="1"/>
    <col min="165" max="165" width="19.5546875" bestFit="1" customWidth="1"/>
    <col min="166" max="166" width="15.5546875" bestFit="1" customWidth="1"/>
    <col min="167" max="167" width="19.33203125" bestFit="1" customWidth="1"/>
    <col min="168" max="168" width="19.5546875" bestFit="1" customWidth="1"/>
    <col min="169" max="169" width="15.5546875" bestFit="1" customWidth="1"/>
    <col min="170" max="170" width="19.33203125" bestFit="1" customWidth="1"/>
    <col min="171" max="171" width="19.5546875" bestFit="1" customWidth="1"/>
    <col min="172" max="172" width="15.5546875" bestFit="1" customWidth="1"/>
    <col min="173" max="173" width="19.33203125" bestFit="1" customWidth="1"/>
    <col min="174" max="174" width="19.5546875" bestFit="1" customWidth="1"/>
    <col min="175" max="175" width="15.5546875" bestFit="1" customWidth="1"/>
    <col min="176" max="176" width="19.33203125" bestFit="1" customWidth="1"/>
    <col min="177" max="177" width="19.5546875" bestFit="1" customWidth="1"/>
    <col min="178" max="178" width="15.5546875" bestFit="1" customWidth="1"/>
    <col min="179" max="179" width="19.33203125" bestFit="1" customWidth="1"/>
    <col min="180" max="180" width="19.5546875" bestFit="1" customWidth="1"/>
    <col min="181" max="181" width="15.5546875" bestFit="1" customWidth="1"/>
    <col min="182" max="182" width="19.33203125" bestFit="1" customWidth="1"/>
    <col min="183" max="183" width="19.5546875" bestFit="1" customWidth="1"/>
    <col min="184" max="184" width="15.5546875" bestFit="1" customWidth="1"/>
    <col min="185" max="185" width="19.33203125" bestFit="1" customWidth="1"/>
    <col min="186" max="186" width="19.5546875" bestFit="1" customWidth="1"/>
    <col min="187" max="187" width="15.5546875" bestFit="1" customWidth="1"/>
    <col min="188" max="188" width="19.33203125" bestFit="1" customWidth="1"/>
    <col min="189" max="189" width="19.5546875" bestFit="1" customWidth="1"/>
    <col min="190" max="190" width="15.5546875" bestFit="1" customWidth="1"/>
    <col min="191" max="191" width="19.33203125" bestFit="1" customWidth="1"/>
    <col min="192" max="192" width="19.5546875" bestFit="1" customWidth="1"/>
    <col min="193" max="193" width="15.5546875" bestFit="1" customWidth="1"/>
    <col min="194" max="194" width="19.33203125" bestFit="1" customWidth="1"/>
    <col min="195" max="195" width="19.5546875" bestFit="1" customWidth="1"/>
    <col min="196" max="196" width="15.5546875" bestFit="1" customWidth="1"/>
    <col min="197" max="197" width="19.33203125" bestFit="1" customWidth="1"/>
    <col min="198" max="198" width="19.5546875" bestFit="1" customWidth="1"/>
    <col min="199" max="199" width="15.5546875" bestFit="1" customWidth="1"/>
    <col min="200" max="200" width="19.33203125" bestFit="1" customWidth="1"/>
    <col min="201" max="201" width="19.5546875" bestFit="1" customWidth="1"/>
    <col min="202" max="202" width="15.5546875" bestFit="1" customWidth="1"/>
    <col min="203" max="203" width="19.33203125" bestFit="1" customWidth="1"/>
    <col min="204" max="204" width="19.5546875" bestFit="1" customWidth="1"/>
    <col min="205" max="205" width="15.5546875" bestFit="1" customWidth="1"/>
    <col min="206" max="206" width="19.33203125" bestFit="1" customWidth="1"/>
    <col min="207" max="207" width="19.5546875" bestFit="1" customWidth="1"/>
    <col min="208" max="208" width="15.5546875" bestFit="1" customWidth="1"/>
    <col min="209" max="209" width="19.33203125" bestFit="1" customWidth="1"/>
    <col min="210" max="210" width="19.5546875" bestFit="1" customWidth="1"/>
    <col min="211" max="211" width="15.5546875" bestFit="1" customWidth="1"/>
    <col min="212" max="212" width="19.33203125" bestFit="1" customWidth="1"/>
    <col min="213" max="213" width="19.5546875" bestFit="1" customWidth="1"/>
    <col min="214" max="214" width="15.5546875" bestFit="1" customWidth="1"/>
    <col min="215" max="215" width="19.33203125" bestFit="1" customWidth="1"/>
    <col min="216" max="216" width="19.5546875" bestFit="1" customWidth="1"/>
    <col min="217" max="217" width="15.5546875" bestFit="1" customWidth="1"/>
    <col min="218" max="218" width="19.33203125" bestFit="1" customWidth="1"/>
    <col min="219" max="219" width="19.5546875" bestFit="1" customWidth="1"/>
    <col min="220" max="220" width="15.5546875" bestFit="1" customWidth="1"/>
    <col min="221" max="221" width="19.33203125" bestFit="1" customWidth="1"/>
    <col min="222" max="222" width="19.5546875" bestFit="1" customWidth="1"/>
    <col min="223" max="223" width="15.5546875" bestFit="1" customWidth="1"/>
    <col min="224" max="224" width="19.33203125" bestFit="1" customWidth="1"/>
    <col min="225" max="225" width="19.5546875" bestFit="1" customWidth="1"/>
    <col min="226" max="226" width="15.5546875" bestFit="1" customWidth="1"/>
    <col min="227" max="227" width="19.33203125" bestFit="1" customWidth="1"/>
    <col min="228" max="228" width="19.5546875" bestFit="1" customWidth="1"/>
    <col min="229" max="229" width="15.5546875" bestFit="1" customWidth="1"/>
    <col min="230" max="230" width="19.33203125" bestFit="1" customWidth="1"/>
    <col min="231" max="231" width="19.5546875" bestFit="1" customWidth="1"/>
    <col min="232" max="232" width="15.5546875" bestFit="1" customWidth="1"/>
    <col min="233" max="233" width="19.33203125" bestFit="1" customWidth="1"/>
    <col min="234" max="234" width="19.5546875" bestFit="1" customWidth="1"/>
    <col min="235" max="235" width="15.5546875" bestFit="1" customWidth="1"/>
    <col min="236" max="236" width="19.33203125" bestFit="1" customWidth="1"/>
    <col min="237" max="237" width="19.5546875" bestFit="1" customWidth="1"/>
    <col min="238" max="238" width="15.5546875" bestFit="1" customWidth="1"/>
    <col min="239" max="239" width="19.33203125" bestFit="1" customWidth="1"/>
    <col min="240" max="240" width="19.5546875" bestFit="1" customWidth="1"/>
    <col min="241" max="241" width="15.5546875" bestFit="1" customWidth="1"/>
    <col min="242" max="242" width="19.33203125" bestFit="1" customWidth="1"/>
    <col min="243" max="243" width="19.5546875" bestFit="1" customWidth="1"/>
    <col min="244" max="244" width="15.5546875" bestFit="1" customWidth="1"/>
    <col min="245" max="245" width="19.33203125" bestFit="1" customWidth="1"/>
    <col min="246" max="246" width="19.5546875" bestFit="1" customWidth="1"/>
    <col min="247" max="247" width="15.5546875" bestFit="1" customWidth="1"/>
    <col min="248" max="248" width="19.33203125" bestFit="1" customWidth="1"/>
    <col min="249" max="249" width="19.5546875" bestFit="1" customWidth="1"/>
    <col min="250" max="250" width="15.5546875" bestFit="1" customWidth="1"/>
    <col min="251" max="251" width="19.33203125" bestFit="1" customWidth="1"/>
    <col min="252" max="252" width="19.5546875" bestFit="1" customWidth="1"/>
    <col min="253" max="253" width="15.5546875" bestFit="1" customWidth="1"/>
    <col min="254" max="254" width="19.33203125" bestFit="1" customWidth="1"/>
    <col min="255" max="255" width="19.5546875" bestFit="1" customWidth="1"/>
    <col min="256" max="256" width="15.5546875" bestFit="1" customWidth="1"/>
    <col min="257" max="257" width="19.33203125" bestFit="1" customWidth="1"/>
    <col min="258" max="258" width="19.5546875" bestFit="1" customWidth="1"/>
    <col min="259" max="259" width="15.5546875" bestFit="1" customWidth="1"/>
    <col min="260" max="260" width="19.33203125" bestFit="1" customWidth="1"/>
    <col min="261" max="261" width="19.5546875" bestFit="1" customWidth="1"/>
    <col min="262" max="262" width="15.5546875" bestFit="1" customWidth="1"/>
    <col min="263" max="263" width="19.33203125" bestFit="1" customWidth="1"/>
    <col min="264" max="264" width="19.5546875" bestFit="1" customWidth="1"/>
    <col min="265" max="265" width="15.5546875" bestFit="1" customWidth="1"/>
    <col min="266" max="266" width="19.33203125" bestFit="1" customWidth="1"/>
    <col min="267" max="267" width="19.5546875" bestFit="1" customWidth="1"/>
    <col min="268" max="268" width="15.5546875" bestFit="1" customWidth="1"/>
    <col min="269" max="269" width="19.33203125" bestFit="1" customWidth="1"/>
    <col min="270" max="270" width="19.5546875" bestFit="1" customWidth="1"/>
    <col min="271" max="271" width="15.5546875" bestFit="1" customWidth="1"/>
    <col min="272" max="272" width="19.33203125" bestFit="1" customWidth="1"/>
    <col min="273" max="273" width="19.5546875" bestFit="1" customWidth="1"/>
    <col min="274" max="274" width="15.5546875" bestFit="1" customWidth="1"/>
    <col min="275" max="275" width="19.33203125" bestFit="1" customWidth="1"/>
    <col min="276" max="276" width="19.5546875" bestFit="1" customWidth="1"/>
    <col min="277" max="277" width="15.5546875" bestFit="1" customWidth="1"/>
    <col min="278" max="278" width="19.33203125" bestFit="1" customWidth="1"/>
    <col min="279" max="279" width="19.5546875" bestFit="1" customWidth="1"/>
    <col min="280" max="280" width="15.5546875" bestFit="1" customWidth="1"/>
    <col min="281" max="281" width="19.33203125" bestFit="1" customWidth="1"/>
    <col min="282" max="282" width="19.5546875" bestFit="1" customWidth="1"/>
    <col min="283" max="283" width="15.5546875" bestFit="1" customWidth="1"/>
    <col min="284" max="284" width="19.33203125" bestFit="1" customWidth="1"/>
    <col min="285" max="285" width="19.5546875" bestFit="1" customWidth="1"/>
    <col min="286" max="286" width="15.5546875" bestFit="1" customWidth="1"/>
    <col min="287" max="287" width="19.33203125" bestFit="1" customWidth="1"/>
    <col min="288" max="288" width="19.5546875" bestFit="1" customWidth="1"/>
    <col min="289" max="289" width="15.5546875" bestFit="1" customWidth="1"/>
    <col min="290" max="290" width="19.33203125" bestFit="1" customWidth="1"/>
    <col min="291" max="291" width="19.5546875" bestFit="1" customWidth="1"/>
    <col min="292" max="292" width="15.5546875" bestFit="1" customWidth="1"/>
    <col min="293" max="293" width="19.33203125" bestFit="1" customWidth="1"/>
    <col min="294" max="294" width="19.5546875" bestFit="1" customWidth="1"/>
    <col min="295" max="295" width="15.5546875" bestFit="1" customWidth="1"/>
    <col min="296" max="296" width="19.33203125" bestFit="1" customWidth="1"/>
    <col min="297" max="297" width="19.5546875" bestFit="1" customWidth="1"/>
    <col min="298" max="298" width="15.5546875" bestFit="1" customWidth="1"/>
    <col min="299" max="299" width="19.33203125" bestFit="1" customWidth="1"/>
    <col min="300" max="300" width="19.5546875" bestFit="1" customWidth="1"/>
    <col min="301" max="301" width="15.5546875" bestFit="1" customWidth="1"/>
    <col min="302" max="302" width="19.33203125" bestFit="1" customWidth="1"/>
    <col min="303" max="303" width="19.5546875" bestFit="1" customWidth="1"/>
    <col min="304" max="304" width="15.5546875" bestFit="1" customWidth="1"/>
    <col min="305" max="305" width="19.33203125" bestFit="1" customWidth="1"/>
    <col min="306" max="306" width="19.5546875" bestFit="1" customWidth="1"/>
    <col min="307" max="307" width="15.5546875" bestFit="1" customWidth="1"/>
    <col min="308" max="308" width="19.33203125" bestFit="1" customWidth="1"/>
    <col min="309" max="309" width="19.5546875" bestFit="1" customWidth="1"/>
    <col min="310" max="310" width="15.5546875" bestFit="1" customWidth="1"/>
    <col min="311" max="311" width="19.33203125" bestFit="1" customWidth="1"/>
    <col min="312" max="312" width="19.5546875" bestFit="1" customWidth="1"/>
    <col min="313" max="313" width="15.5546875" bestFit="1" customWidth="1"/>
    <col min="314" max="314" width="19.33203125" bestFit="1" customWidth="1"/>
    <col min="315" max="315" width="19.5546875" bestFit="1" customWidth="1"/>
    <col min="316" max="316" width="15.5546875" bestFit="1" customWidth="1"/>
    <col min="317" max="317" width="19.33203125" bestFit="1" customWidth="1"/>
    <col min="318" max="318" width="19.5546875" bestFit="1" customWidth="1"/>
    <col min="319" max="319" width="15.5546875" bestFit="1" customWidth="1"/>
    <col min="320" max="320" width="19.33203125" bestFit="1" customWidth="1"/>
    <col min="321" max="321" width="19.5546875" bestFit="1" customWidth="1"/>
    <col min="322" max="322" width="15.5546875" bestFit="1" customWidth="1"/>
    <col min="323" max="323" width="19.33203125" bestFit="1" customWidth="1"/>
    <col min="324" max="324" width="19.5546875" bestFit="1" customWidth="1"/>
    <col min="325" max="325" width="15.5546875" bestFit="1" customWidth="1"/>
    <col min="326" max="326" width="19.33203125" bestFit="1" customWidth="1"/>
    <col min="327" max="327" width="19.5546875" bestFit="1" customWidth="1"/>
    <col min="328" max="328" width="15.5546875" bestFit="1" customWidth="1"/>
    <col min="329" max="329" width="19.33203125" bestFit="1" customWidth="1"/>
    <col min="330" max="330" width="19.5546875" bestFit="1" customWidth="1"/>
    <col min="331" max="331" width="15.5546875" bestFit="1" customWidth="1"/>
    <col min="332" max="332" width="19.33203125" bestFit="1" customWidth="1"/>
    <col min="333" max="333" width="19.5546875" bestFit="1" customWidth="1"/>
    <col min="334" max="334" width="15.5546875" bestFit="1" customWidth="1"/>
    <col min="335" max="335" width="19.33203125" bestFit="1" customWidth="1"/>
    <col min="336" max="336" width="19.5546875" bestFit="1" customWidth="1"/>
    <col min="337" max="337" width="15.5546875" bestFit="1" customWidth="1"/>
    <col min="338" max="338" width="19.33203125" bestFit="1" customWidth="1"/>
    <col min="339" max="339" width="19.5546875" bestFit="1" customWidth="1"/>
    <col min="340" max="340" width="15.5546875" bestFit="1" customWidth="1"/>
    <col min="341" max="341" width="19.33203125" bestFit="1" customWidth="1"/>
    <col min="342" max="342" width="19.5546875" bestFit="1" customWidth="1"/>
    <col min="343" max="343" width="15.5546875" bestFit="1" customWidth="1"/>
    <col min="344" max="344" width="19.33203125" bestFit="1" customWidth="1"/>
    <col min="345" max="345" width="19.5546875" bestFit="1" customWidth="1"/>
    <col min="346" max="346" width="15.5546875" bestFit="1" customWidth="1"/>
    <col min="347" max="347" width="19.33203125" bestFit="1" customWidth="1"/>
    <col min="348" max="348" width="19.5546875" bestFit="1" customWidth="1"/>
    <col min="349" max="349" width="15.5546875" bestFit="1" customWidth="1"/>
    <col min="350" max="350" width="19.33203125" bestFit="1" customWidth="1"/>
    <col min="351" max="351" width="19.5546875" bestFit="1" customWidth="1"/>
    <col min="352" max="352" width="15.5546875" bestFit="1" customWidth="1"/>
    <col min="353" max="353" width="19.33203125" bestFit="1" customWidth="1"/>
    <col min="354" max="354" width="19.5546875" bestFit="1" customWidth="1"/>
    <col min="355" max="355" width="15.5546875" bestFit="1" customWidth="1"/>
    <col min="356" max="356" width="19.33203125" bestFit="1" customWidth="1"/>
    <col min="357" max="357" width="19.5546875" bestFit="1" customWidth="1"/>
    <col min="358" max="358" width="15.5546875" bestFit="1" customWidth="1"/>
    <col min="359" max="359" width="19.33203125" bestFit="1" customWidth="1"/>
    <col min="360" max="360" width="19.5546875" bestFit="1" customWidth="1"/>
    <col min="361" max="361" width="15.5546875" bestFit="1" customWidth="1"/>
    <col min="362" max="362" width="19.33203125" bestFit="1" customWidth="1"/>
    <col min="363" max="363" width="19.5546875" bestFit="1" customWidth="1"/>
    <col min="364" max="364" width="15.5546875" bestFit="1" customWidth="1"/>
    <col min="365" max="365" width="19.33203125" bestFit="1" customWidth="1"/>
    <col min="366" max="366" width="19.5546875" bestFit="1" customWidth="1"/>
    <col min="367" max="367" width="15.5546875" bestFit="1" customWidth="1"/>
    <col min="368" max="368" width="19.33203125" bestFit="1" customWidth="1"/>
    <col min="369" max="369" width="19.5546875" bestFit="1" customWidth="1"/>
    <col min="370" max="370" width="15.5546875" bestFit="1" customWidth="1"/>
    <col min="371" max="371" width="19.33203125" bestFit="1" customWidth="1"/>
    <col min="372" max="372" width="19.5546875" bestFit="1" customWidth="1"/>
    <col min="373" max="373" width="15.5546875" bestFit="1" customWidth="1"/>
    <col min="374" max="374" width="19.33203125" bestFit="1" customWidth="1"/>
    <col min="375" max="375" width="19.5546875" bestFit="1" customWidth="1"/>
    <col min="376" max="376" width="15.5546875" bestFit="1" customWidth="1"/>
    <col min="377" max="377" width="19.33203125" bestFit="1" customWidth="1"/>
    <col min="378" max="378" width="19.5546875" bestFit="1" customWidth="1"/>
    <col min="379" max="379" width="15.5546875" bestFit="1" customWidth="1"/>
    <col min="380" max="380" width="19.33203125" bestFit="1" customWidth="1"/>
    <col min="381" max="381" width="24.33203125" bestFit="1" customWidth="1"/>
    <col min="382" max="382" width="20.33203125" bestFit="1" customWidth="1"/>
    <col min="383" max="383" width="24.109375" bestFit="1" customWidth="1"/>
    <col min="384" max="384" width="15.5546875" bestFit="1" customWidth="1"/>
    <col min="385" max="385" width="19.33203125" bestFit="1" customWidth="1"/>
    <col min="386" max="386" width="18.88671875" bestFit="1" customWidth="1"/>
    <col min="387" max="387" width="20.21875" bestFit="1" customWidth="1"/>
    <col min="388" max="388" width="19.5546875" bestFit="1" customWidth="1"/>
    <col min="389" max="389" width="15.5546875" bestFit="1" customWidth="1"/>
    <col min="390" max="390" width="19.33203125" bestFit="1" customWidth="1"/>
    <col min="391" max="391" width="18.88671875" bestFit="1" customWidth="1"/>
    <col min="392" max="392" width="20.21875" bestFit="1" customWidth="1"/>
    <col min="393" max="393" width="19.5546875" bestFit="1" customWidth="1"/>
    <col min="394" max="394" width="15.5546875" bestFit="1" customWidth="1"/>
    <col min="395" max="395" width="19.33203125" bestFit="1" customWidth="1"/>
    <col min="396" max="396" width="18.88671875" bestFit="1" customWidth="1"/>
    <col min="397" max="397" width="20.21875" bestFit="1" customWidth="1"/>
    <col min="398" max="398" width="19.5546875" bestFit="1" customWidth="1"/>
    <col min="399" max="399" width="15.5546875" bestFit="1" customWidth="1"/>
    <col min="400" max="400" width="19.33203125" bestFit="1" customWidth="1"/>
    <col min="401" max="401" width="18.88671875" bestFit="1" customWidth="1"/>
    <col min="402" max="402" width="20.21875" bestFit="1" customWidth="1"/>
    <col min="403" max="403" width="19.5546875" bestFit="1" customWidth="1"/>
    <col min="404" max="404" width="15.5546875" bestFit="1" customWidth="1"/>
    <col min="405" max="405" width="19.33203125" bestFit="1" customWidth="1"/>
    <col min="406" max="406" width="18.88671875" bestFit="1" customWidth="1"/>
    <col min="407" max="407" width="20.21875" bestFit="1" customWidth="1"/>
    <col min="408" max="408" width="19.5546875" bestFit="1" customWidth="1"/>
    <col min="409" max="409" width="15.5546875" bestFit="1" customWidth="1"/>
    <col min="410" max="410" width="19.33203125" bestFit="1" customWidth="1"/>
    <col min="411" max="411" width="18.88671875" bestFit="1" customWidth="1"/>
    <col min="412" max="412" width="20.21875" bestFit="1" customWidth="1"/>
    <col min="413" max="413" width="19.5546875" bestFit="1" customWidth="1"/>
    <col min="414" max="414" width="15.5546875" bestFit="1" customWidth="1"/>
    <col min="415" max="415" width="19.33203125" bestFit="1" customWidth="1"/>
    <col min="416" max="416" width="18.88671875" bestFit="1" customWidth="1"/>
    <col min="417" max="417" width="20.21875" bestFit="1" customWidth="1"/>
    <col min="418" max="418" width="19.5546875" bestFit="1" customWidth="1"/>
    <col min="419" max="419" width="15.5546875" bestFit="1" customWidth="1"/>
    <col min="420" max="420" width="19.33203125" bestFit="1" customWidth="1"/>
    <col min="421" max="421" width="18.88671875" bestFit="1" customWidth="1"/>
    <col min="422" max="422" width="20.21875" bestFit="1" customWidth="1"/>
    <col min="423" max="423" width="19.5546875" bestFit="1" customWidth="1"/>
    <col min="424" max="424" width="15.5546875" bestFit="1" customWidth="1"/>
    <col min="425" max="425" width="19.33203125" bestFit="1" customWidth="1"/>
    <col min="426" max="426" width="18.88671875" bestFit="1" customWidth="1"/>
    <col min="427" max="427" width="20.21875" bestFit="1" customWidth="1"/>
    <col min="428" max="428" width="19.5546875" bestFit="1" customWidth="1"/>
    <col min="429" max="429" width="15.5546875" bestFit="1" customWidth="1"/>
    <col min="430" max="430" width="19.33203125" bestFit="1" customWidth="1"/>
    <col min="431" max="431" width="18.88671875" bestFit="1" customWidth="1"/>
    <col min="432" max="432" width="20.21875" bestFit="1" customWidth="1"/>
    <col min="433" max="433" width="19.5546875" bestFit="1" customWidth="1"/>
    <col min="434" max="434" width="15.5546875" bestFit="1" customWidth="1"/>
    <col min="435" max="435" width="19.33203125" bestFit="1" customWidth="1"/>
    <col min="436" max="436" width="18.88671875" bestFit="1" customWidth="1"/>
    <col min="437" max="437" width="20.21875" bestFit="1" customWidth="1"/>
    <col min="438" max="438" width="19.5546875" bestFit="1" customWidth="1"/>
    <col min="439" max="439" width="15.5546875" bestFit="1" customWidth="1"/>
    <col min="440" max="440" width="19.33203125" bestFit="1" customWidth="1"/>
    <col min="441" max="441" width="18.88671875" bestFit="1" customWidth="1"/>
    <col min="442" max="442" width="20.21875" bestFit="1" customWidth="1"/>
    <col min="443" max="443" width="19.5546875" bestFit="1" customWidth="1"/>
    <col min="444" max="444" width="15.5546875" bestFit="1" customWidth="1"/>
    <col min="445" max="445" width="19.33203125" bestFit="1" customWidth="1"/>
    <col min="446" max="446" width="18.88671875" bestFit="1" customWidth="1"/>
    <col min="447" max="447" width="20.21875" bestFit="1" customWidth="1"/>
    <col min="448" max="448" width="19.5546875" bestFit="1" customWidth="1"/>
    <col min="449" max="449" width="15.5546875" bestFit="1" customWidth="1"/>
    <col min="450" max="450" width="19.33203125" bestFit="1" customWidth="1"/>
    <col min="451" max="451" width="18.88671875" bestFit="1" customWidth="1"/>
    <col min="452" max="452" width="20.21875" bestFit="1" customWidth="1"/>
    <col min="453" max="453" width="19.5546875" bestFit="1" customWidth="1"/>
    <col min="454" max="454" width="15.5546875" bestFit="1" customWidth="1"/>
    <col min="455" max="455" width="19.33203125" bestFit="1" customWidth="1"/>
    <col min="456" max="456" width="18.88671875" bestFit="1" customWidth="1"/>
    <col min="457" max="457" width="20.21875" bestFit="1" customWidth="1"/>
    <col min="458" max="458" width="19.5546875" bestFit="1" customWidth="1"/>
    <col min="459" max="459" width="15.5546875" bestFit="1" customWidth="1"/>
    <col min="460" max="460" width="19.33203125" bestFit="1" customWidth="1"/>
    <col min="461" max="461" width="18.88671875" bestFit="1" customWidth="1"/>
    <col min="462" max="462" width="20.21875" bestFit="1" customWidth="1"/>
    <col min="463" max="463" width="19.5546875" bestFit="1" customWidth="1"/>
    <col min="464" max="464" width="15.5546875" bestFit="1" customWidth="1"/>
    <col min="465" max="465" width="19.33203125" bestFit="1" customWidth="1"/>
    <col min="466" max="466" width="18.88671875" bestFit="1" customWidth="1"/>
    <col min="467" max="467" width="20.21875" bestFit="1" customWidth="1"/>
    <col min="468" max="468" width="19.5546875" bestFit="1" customWidth="1"/>
    <col min="469" max="469" width="15.5546875" bestFit="1" customWidth="1"/>
    <col min="470" max="470" width="19.33203125" bestFit="1" customWidth="1"/>
    <col min="471" max="471" width="18.88671875" bestFit="1" customWidth="1"/>
    <col min="472" max="472" width="20.21875" bestFit="1" customWidth="1"/>
    <col min="473" max="473" width="19.5546875" bestFit="1" customWidth="1"/>
    <col min="474" max="474" width="15.5546875" bestFit="1" customWidth="1"/>
    <col min="475" max="475" width="19.33203125" bestFit="1" customWidth="1"/>
    <col min="476" max="476" width="18.88671875" bestFit="1" customWidth="1"/>
    <col min="477" max="477" width="20.21875" bestFit="1" customWidth="1"/>
    <col min="478" max="478" width="19.5546875" bestFit="1" customWidth="1"/>
    <col min="479" max="479" width="15.5546875" bestFit="1" customWidth="1"/>
    <col min="480" max="480" width="19.33203125" bestFit="1" customWidth="1"/>
    <col min="481" max="481" width="18.88671875" bestFit="1" customWidth="1"/>
    <col min="482" max="482" width="20.21875" bestFit="1" customWidth="1"/>
    <col min="483" max="483" width="19.5546875" bestFit="1" customWidth="1"/>
    <col min="484" max="484" width="15.5546875" bestFit="1" customWidth="1"/>
    <col min="485" max="485" width="19.33203125" bestFit="1" customWidth="1"/>
    <col min="486" max="486" width="18.88671875" bestFit="1" customWidth="1"/>
    <col min="487" max="487" width="20.21875" bestFit="1" customWidth="1"/>
    <col min="488" max="488" width="19.5546875" bestFit="1" customWidth="1"/>
    <col min="489" max="489" width="15.5546875" bestFit="1" customWidth="1"/>
    <col min="490" max="490" width="19.33203125" bestFit="1" customWidth="1"/>
    <col min="491" max="491" width="18.88671875" bestFit="1" customWidth="1"/>
    <col min="492" max="492" width="20.21875" bestFit="1" customWidth="1"/>
    <col min="493" max="493" width="19.5546875" bestFit="1" customWidth="1"/>
    <col min="494" max="494" width="15.5546875" bestFit="1" customWidth="1"/>
    <col min="495" max="495" width="19.33203125" bestFit="1" customWidth="1"/>
    <col min="496" max="496" width="18.88671875" bestFit="1" customWidth="1"/>
    <col min="497" max="497" width="20.21875" bestFit="1" customWidth="1"/>
    <col min="498" max="498" width="19.5546875" bestFit="1" customWidth="1"/>
    <col min="499" max="499" width="15.5546875" bestFit="1" customWidth="1"/>
    <col min="500" max="500" width="19.33203125" bestFit="1" customWidth="1"/>
    <col min="501" max="501" width="18.88671875" bestFit="1" customWidth="1"/>
    <col min="502" max="502" width="20.21875" bestFit="1" customWidth="1"/>
    <col min="503" max="503" width="19.5546875" bestFit="1" customWidth="1"/>
    <col min="504" max="504" width="15.5546875" bestFit="1" customWidth="1"/>
    <col min="505" max="505" width="19.33203125" bestFit="1" customWidth="1"/>
    <col min="506" max="506" width="18.88671875" bestFit="1" customWidth="1"/>
    <col min="507" max="507" width="20.21875" bestFit="1" customWidth="1"/>
    <col min="508" max="508" width="19.5546875" bestFit="1" customWidth="1"/>
    <col min="509" max="509" width="15.5546875" bestFit="1" customWidth="1"/>
    <col min="510" max="510" width="19.33203125" bestFit="1" customWidth="1"/>
    <col min="511" max="511" width="18.88671875" bestFit="1" customWidth="1"/>
    <col min="512" max="512" width="20.21875" bestFit="1" customWidth="1"/>
    <col min="513" max="513" width="19.5546875" bestFit="1" customWidth="1"/>
    <col min="514" max="514" width="15.5546875" bestFit="1" customWidth="1"/>
    <col min="515" max="515" width="19.33203125" bestFit="1" customWidth="1"/>
    <col min="516" max="516" width="18.88671875" bestFit="1" customWidth="1"/>
    <col min="517" max="517" width="20.21875" bestFit="1" customWidth="1"/>
    <col min="518" max="518" width="19.5546875" bestFit="1" customWidth="1"/>
    <col min="519" max="519" width="15.5546875" bestFit="1" customWidth="1"/>
    <col min="520" max="520" width="19.33203125" bestFit="1" customWidth="1"/>
    <col min="521" max="521" width="18.88671875" bestFit="1" customWidth="1"/>
    <col min="522" max="522" width="20.21875" bestFit="1" customWidth="1"/>
    <col min="523" max="523" width="19.5546875" bestFit="1" customWidth="1"/>
    <col min="524" max="524" width="15.5546875" bestFit="1" customWidth="1"/>
    <col min="525" max="525" width="19.33203125" bestFit="1" customWidth="1"/>
    <col min="526" max="526" width="18.88671875" bestFit="1" customWidth="1"/>
    <col min="527" max="527" width="20.21875" bestFit="1" customWidth="1"/>
    <col min="528" max="528" width="19.5546875" bestFit="1" customWidth="1"/>
    <col min="529" max="529" width="15.5546875" bestFit="1" customWidth="1"/>
    <col min="530" max="530" width="19.33203125" bestFit="1" customWidth="1"/>
    <col min="531" max="531" width="18.88671875" bestFit="1" customWidth="1"/>
    <col min="532" max="532" width="20.21875" bestFit="1" customWidth="1"/>
    <col min="533" max="533" width="19.5546875" bestFit="1" customWidth="1"/>
    <col min="534" max="534" width="15.5546875" bestFit="1" customWidth="1"/>
    <col min="535" max="535" width="19.33203125" bestFit="1" customWidth="1"/>
    <col min="536" max="536" width="18.88671875" bestFit="1" customWidth="1"/>
    <col min="537" max="537" width="20.21875" bestFit="1" customWidth="1"/>
    <col min="538" max="538" width="19.5546875" bestFit="1" customWidth="1"/>
    <col min="539" max="539" width="15.5546875" bestFit="1" customWidth="1"/>
    <col min="540" max="540" width="19.33203125" bestFit="1" customWidth="1"/>
    <col min="541" max="541" width="18.88671875" bestFit="1" customWidth="1"/>
    <col min="542" max="542" width="20.21875" bestFit="1" customWidth="1"/>
    <col min="543" max="543" width="19.5546875" bestFit="1" customWidth="1"/>
    <col min="544" max="544" width="15.5546875" bestFit="1" customWidth="1"/>
    <col min="545" max="545" width="19.33203125" bestFit="1" customWidth="1"/>
    <col min="546" max="546" width="18.88671875" bestFit="1" customWidth="1"/>
    <col min="547" max="547" width="20.21875" bestFit="1" customWidth="1"/>
    <col min="548" max="548" width="19.5546875" bestFit="1" customWidth="1"/>
    <col min="549" max="549" width="15.5546875" bestFit="1" customWidth="1"/>
    <col min="550" max="550" width="19.33203125" bestFit="1" customWidth="1"/>
    <col min="551" max="551" width="18.88671875" bestFit="1" customWidth="1"/>
    <col min="552" max="552" width="20.21875" bestFit="1" customWidth="1"/>
    <col min="553" max="553" width="19.5546875" bestFit="1" customWidth="1"/>
    <col min="554" max="554" width="15.5546875" bestFit="1" customWidth="1"/>
    <col min="555" max="555" width="19.33203125" bestFit="1" customWidth="1"/>
    <col min="556" max="556" width="18.88671875" bestFit="1" customWidth="1"/>
    <col min="557" max="557" width="20.21875" bestFit="1" customWidth="1"/>
    <col min="558" max="558" width="19.5546875" bestFit="1" customWidth="1"/>
    <col min="559" max="559" width="15.5546875" bestFit="1" customWidth="1"/>
    <col min="560" max="560" width="19.33203125" bestFit="1" customWidth="1"/>
    <col min="561" max="561" width="18.88671875" bestFit="1" customWidth="1"/>
    <col min="562" max="562" width="20.21875" bestFit="1" customWidth="1"/>
    <col min="563" max="563" width="19.5546875" bestFit="1" customWidth="1"/>
    <col min="564" max="564" width="15.5546875" bestFit="1" customWidth="1"/>
    <col min="565" max="565" width="19.33203125" bestFit="1" customWidth="1"/>
    <col min="566" max="566" width="18.88671875" bestFit="1" customWidth="1"/>
    <col min="567" max="567" width="20.21875" bestFit="1" customWidth="1"/>
    <col min="568" max="568" width="19.5546875" bestFit="1" customWidth="1"/>
    <col min="569" max="569" width="15.5546875" bestFit="1" customWidth="1"/>
    <col min="570" max="570" width="19.33203125" bestFit="1" customWidth="1"/>
    <col min="571" max="571" width="18.88671875" bestFit="1" customWidth="1"/>
    <col min="572" max="572" width="20.21875" bestFit="1" customWidth="1"/>
    <col min="573" max="573" width="19.5546875" bestFit="1" customWidth="1"/>
    <col min="574" max="574" width="15.5546875" bestFit="1" customWidth="1"/>
    <col min="575" max="575" width="19.33203125" bestFit="1" customWidth="1"/>
    <col min="576" max="576" width="18.88671875" bestFit="1" customWidth="1"/>
    <col min="577" max="577" width="20.21875" bestFit="1" customWidth="1"/>
    <col min="578" max="578" width="19.5546875" bestFit="1" customWidth="1"/>
    <col min="579" max="579" width="15.5546875" bestFit="1" customWidth="1"/>
    <col min="580" max="580" width="19.33203125" bestFit="1" customWidth="1"/>
    <col min="581" max="581" width="18.88671875" bestFit="1" customWidth="1"/>
    <col min="582" max="582" width="20.21875" bestFit="1" customWidth="1"/>
    <col min="583" max="583" width="19.5546875" bestFit="1" customWidth="1"/>
    <col min="584" max="584" width="15.5546875" bestFit="1" customWidth="1"/>
    <col min="585" max="585" width="19.33203125" bestFit="1" customWidth="1"/>
    <col min="586" max="586" width="18.88671875" bestFit="1" customWidth="1"/>
    <col min="587" max="587" width="20.21875" bestFit="1" customWidth="1"/>
    <col min="588" max="588" width="19.5546875" bestFit="1" customWidth="1"/>
    <col min="589" max="589" width="15.5546875" bestFit="1" customWidth="1"/>
    <col min="590" max="590" width="19.33203125" bestFit="1" customWidth="1"/>
    <col min="591" max="591" width="18.88671875" bestFit="1" customWidth="1"/>
    <col min="592" max="592" width="20.21875" bestFit="1" customWidth="1"/>
    <col min="593" max="593" width="19.5546875" bestFit="1" customWidth="1"/>
    <col min="594" max="594" width="15.5546875" bestFit="1" customWidth="1"/>
    <col min="595" max="595" width="19.33203125" bestFit="1" customWidth="1"/>
    <col min="596" max="596" width="18.88671875" bestFit="1" customWidth="1"/>
    <col min="597" max="597" width="20.21875" bestFit="1" customWidth="1"/>
    <col min="598" max="598" width="19.5546875" bestFit="1" customWidth="1"/>
    <col min="599" max="599" width="15.5546875" bestFit="1" customWidth="1"/>
    <col min="600" max="600" width="19.33203125" bestFit="1" customWidth="1"/>
    <col min="601" max="601" width="18.88671875" bestFit="1" customWidth="1"/>
    <col min="602" max="602" width="20.21875" bestFit="1" customWidth="1"/>
    <col min="603" max="603" width="19.5546875" bestFit="1" customWidth="1"/>
    <col min="604" max="604" width="15.5546875" bestFit="1" customWidth="1"/>
    <col min="605" max="605" width="19.33203125" bestFit="1" customWidth="1"/>
    <col min="606" max="606" width="18.88671875" bestFit="1" customWidth="1"/>
    <col min="607" max="607" width="20.21875" bestFit="1" customWidth="1"/>
    <col min="608" max="608" width="19.5546875" bestFit="1" customWidth="1"/>
    <col min="609" max="609" width="15.5546875" bestFit="1" customWidth="1"/>
    <col min="610" max="610" width="19.33203125" bestFit="1" customWidth="1"/>
    <col min="611" max="611" width="18.88671875" bestFit="1" customWidth="1"/>
    <col min="612" max="612" width="20.21875" bestFit="1" customWidth="1"/>
    <col min="613" max="613" width="19.5546875" bestFit="1" customWidth="1"/>
    <col min="614" max="614" width="15.5546875" bestFit="1" customWidth="1"/>
    <col min="615" max="615" width="19.33203125" bestFit="1" customWidth="1"/>
    <col min="616" max="616" width="18.88671875" bestFit="1" customWidth="1"/>
    <col min="617" max="617" width="20.21875" bestFit="1" customWidth="1"/>
    <col min="618" max="618" width="19.5546875" bestFit="1" customWidth="1"/>
    <col min="619" max="619" width="15.5546875" bestFit="1" customWidth="1"/>
    <col min="620" max="620" width="19.33203125" bestFit="1" customWidth="1"/>
    <col min="621" max="621" width="18.88671875" bestFit="1" customWidth="1"/>
    <col min="622" max="622" width="20.21875" bestFit="1" customWidth="1"/>
    <col min="623" max="623" width="19.5546875" bestFit="1" customWidth="1"/>
    <col min="624" max="624" width="15.5546875" bestFit="1" customWidth="1"/>
    <col min="625" max="625" width="19.33203125" bestFit="1" customWidth="1"/>
    <col min="626" max="626" width="18.88671875" bestFit="1" customWidth="1"/>
    <col min="627" max="627" width="20.21875" bestFit="1" customWidth="1"/>
    <col min="628" max="628" width="19.5546875" bestFit="1" customWidth="1"/>
    <col min="629" max="629" width="15.5546875" bestFit="1" customWidth="1"/>
    <col min="630" max="630" width="19.33203125" bestFit="1" customWidth="1"/>
    <col min="631" max="631" width="23.6640625" bestFit="1" customWidth="1"/>
    <col min="632" max="632" width="25" bestFit="1" customWidth="1"/>
    <col min="633" max="633" width="24.33203125" bestFit="1" customWidth="1"/>
    <col min="634" max="634" width="20.33203125" bestFit="1" customWidth="1"/>
    <col min="635" max="635" width="24.109375" bestFit="1" customWidth="1"/>
  </cols>
  <sheetData>
    <row r="1" spans="1:11" x14ac:dyDescent="0.3">
      <c r="D1" s="19" t="s">
        <v>45</v>
      </c>
    </row>
    <row r="2" spans="1:11" x14ac:dyDescent="0.3">
      <c r="D2" t="s">
        <v>46</v>
      </c>
      <c r="E2">
        <v>293152</v>
      </c>
    </row>
    <row r="3" spans="1:11" x14ac:dyDescent="0.3">
      <c r="A3" s="7"/>
      <c r="B3" s="8"/>
      <c r="C3" s="9"/>
      <c r="D3" t="s">
        <v>47</v>
      </c>
      <c r="E3">
        <v>609976</v>
      </c>
    </row>
    <row r="4" spans="1:11" x14ac:dyDescent="0.3">
      <c r="A4" s="10"/>
      <c r="B4" s="11"/>
      <c r="C4" s="12"/>
      <c r="D4" t="s">
        <v>48</v>
      </c>
    </row>
    <row r="5" spans="1:11" x14ac:dyDescent="0.3">
      <c r="A5" s="10"/>
      <c r="B5" s="11"/>
      <c r="C5" s="12"/>
      <c r="D5" t="s">
        <v>49</v>
      </c>
    </row>
    <row r="6" spans="1:11" x14ac:dyDescent="0.3">
      <c r="A6" s="10"/>
      <c r="B6" s="11"/>
      <c r="C6" s="12"/>
      <c r="E6" t="s">
        <v>15</v>
      </c>
      <c r="F6" t="s">
        <v>25</v>
      </c>
      <c r="G6" t="s">
        <v>16</v>
      </c>
      <c r="H6" t="s">
        <v>26</v>
      </c>
      <c r="I6" t="s">
        <v>27</v>
      </c>
      <c r="J6" t="s">
        <v>28</v>
      </c>
      <c r="K6" t="s">
        <v>29</v>
      </c>
    </row>
    <row r="7" spans="1:11" x14ac:dyDescent="0.3">
      <c r="A7" s="10"/>
      <c r="B7" s="11"/>
      <c r="C7" s="12"/>
      <c r="E7">
        <v>293152</v>
      </c>
      <c r="F7">
        <v>609976</v>
      </c>
      <c r="G7">
        <v>73750</v>
      </c>
      <c r="H7">
        <v>280581</v>
      </c>
      <c r="I7">
        <v>140481</v>
      </c>
      <c r="J7">
        <v>97350</v>
      </c>
      <c r="K7">
        <v>22680</v>
      </c>
    </row>
    <row r="8" spans="1:11" x14ac:dyDescent="0.3">
      <c r="A8" s="10"/>
      <c r="B8" s="11"/>
      <c r="C8" s="12"/>
    </row>
    <row r="9" spans="1:11" x14ac:dyDescent="0.3">
      <c r="A9" s="10"/>
      <c r="B9" s="11"/>
      <c r="C9" s="12"/>
    </row>
    <row r="10" spans="1:11" x14ac:dyDescent="0.3">
      <c r="A10" s="10"/>
      <c r="B10" s="11"/>
      <c r="C10" s="12"/>
    </row>
    <row r="11" spans="1:11" x14ac:dyDescent="0.3">
      <c r="A11" s="10"/>
      <c r="B11" s="11"/>
      <c r="C11" s="12"/>
    </row>
    <row r="12" spans="1:11" x14ac:dyDescent="0.3">
      <c r="A12" s="10"/>
      <c r="B12" s="11"/>
      <c r="C12" s="12"/>
      <c r="F12" t="s">
        <v>45</v>
      </c>
    </row>
    <row r="13" spans="1:11" x14ac:dyDescent="0.3">
      <c r="A13" s="10"/>
      <c r="B13" s="11"/>
      <c r="C13" s="12"/>
    </row>
    <row r="14" spans="1:11" x14ac:dyDescent="0.3">
      <c r="A14" s="10"/>
      <c r="B14" s="11"/>
      <c r="C14" s="12"/>
    </row>
    <row r="15" spans="1:11" x14ac:dyDescent="0.3">
      <c r="A15" s="10"/>
      <c r="B15" s="11"/>
      <c r="C15" s="12"/>
    </row>
    <row r="16" spans="1:11" x14ac:dyDescent="0.3">
      <c r="A16" s="10"/>
      <c r="B16" s="11"/>
      <c r="C16" s="12"/>
    </row>
    <row r="17" spans="1:3" x14ac:dyDescent="0.3">
      <c r="A17" s="10"/>
      <c r="B17" s="11"/>
      <c r="C17" s="12"/>
    </row>
    <row r="18" spans="1:3" x14ac:dyDescent="0.3">
      <c r="A18" s="10"/>
      <c r="B18" s="11"/>
      <c r="C18" s="12"/>
    </row>
    <row r="19" spans="1:3" x14ac:dyDescent="0.3">
      <c r="A19" s="10"/>
      <c r="B19" s="11"/>
      <c r="C19" s="12"/>
    </row>
    <row r="20" spans="1:3" x14ac:dyDescent="0.3">
      <c r="A20" s="13"/>
      <c r="B20" s="14"/>
      <c r="C20" s="15"/>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E90DC-10E9-46EC-AF05-61AFE35BDD58}">
  <dimension ref="A3:C20"/>
  <sheetViews>
    <sheetView workbookViewId="0">
      <selection activeCell="A3" sqref="A3"/>
    </sheetView>
  </sheetViews>
  <sheetFormatPr defaultRowHeight="14.4" x14ac:dyDescent="0.3"/>
  <cols>
    <col min="1" max="1" width="17.88671875" bestFit="1" customWidth="1"/>
    <col min="2" max="4" width="18.88671875" bestFit="1" customWidth="1"/>
  </cols>
  <sheetData>
    <row r="3" spans="1:3" x14ac:dyDescent="0.3">
      <c r="A3" s="7"/>
      <c r="B3" s="8"/>
      <c r="C3" s="9"/>
    </row>
    <row r="4" spans="1:3" x14ac:dyDescent="0.3">
      <c r="A4" s="10"/>
      <c r="B4" s="11"/>
      <c r="C4" s="12"/>
    </row>
    <row r="5" spans="1:3" x14ac:dyDescent="0.3">
      <c r="A5" s="10"/>
      <c r="B5" s="11"/>
      <c r="C5" s="12"/>
    </row>
    <row r="6" spans="1:3" x14ac:dyDescent="0.3">
      <c r="A6" s="10"/>
      <c r="B6" s="11"/>
      <c r="C6" s="12"/>
    </row>
    <row r="7" spans="1:3" x14ac:dyDescent="0.3">
      <c r="A7" s="10"/>
      <c r="B7" s="11"/>
      <c r="C7" s="12"/>
    </row>
    <row r="8" spans="1:3" x14ac:dyDescent="0.3">
      <c r="A8" s="10"/>
      <c r="B8" s="11"/>
      <c r="C8" s="12"/>
    </row>
    <row r="9" spans="1:3" x14ac:dyDescent="0.3">
      <c r="A9" s="10"/>
      <c r="B9" s="11"/>
      <c r="C9" s="12"/>
    </row>
    <row r="10" spans="1:3" x14ac:dyDescent="0.3">
      <c r="A10" s="10"/>
      <c r="B10" s="11"/>
      <c r="C10" s="12"/>
    </row>
    <row r="11" spans="1:3" x14ac:dyDescent="0.3">
      <c r="A11" s="10"/>
      <c r="B11" s="11"/>
      <c r="C11" s="12"/>
    </row>
    <row r="12" spans="1:3" x14ac:dyDescent="0.3">
      <c r="A12" s="10"/>
      <c r="B12" s="11"/>
      <c r="C12" s="12"/>
    </row>
    <row r="13" spans="1:3" x14ac:dyDescent="0.3">
      <c r="A13" s="10"/>
      <c r="B13" s="11"/>
      <c r="C13" s="12"/>
    </row>
    <row r="14" spans="1:3" x14ac:dyDescent="0.3">
      <c r="A14" s="10"/>
      <c r="B14" s="11"/>
      <c r="C14" s="12"/>
    </row>
    <row r="15" spans="1:3" x14ac:dyDescent="0.3">
      <c r="A15" s="10"/>
      <c r="B15" s="11"/>
      <c r="C15" s="12"/>
    </row>
    <row r="16" spans="1:3" x14ac:dyDescent="0.3">
      <c r="A16" s="10"/>
      <c r="B16" s="11"/>
      <c r="C16" s="12"/>
    </row>
    <row r="17" spans="1:3" x14ac:dyDescent="0.3">
      <c r="A17" s="10"/>
      <c r="B17" s="11"/>
      <c r="C17" s="12"/>
    </row>
    <row r="18" spans="1:3" x14ac:dyDescent="0.3">
      <c r="A18" s="10"/>
      <c r="B18" s="11"/>
      <c r="C18" s="12"/>
    </row>
    <row r="19" spans="1:3" x14ac:dyDescent="0.3">
      <c r="A19" s="10"/>
      <c r="B19" s="11"/>
      <c r="C19" s="12"/>
    </row>
    <row r="20" spans="1:3" x14ac:dyDescent="0.3">
      <c r="A20" s="13"/>
      <c r="B20" s="14"/>
      <c r="C20" s="1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43FAB-2A02-4093-8477-062DE4FC2354}">
  <dimension ref="A3:G17"/>
  <sheetViews>
    <sheetView workbookViewId="0">
      <selection activeCell="C10" sqref="C10:D17"/>
    </sheetView>
  </sheetViews>
  <sheetFormatPr defaultRowHeight="14.4" x14ac:dyDescent="0.3"/>
  <cols>
    <col min="1" max="1" width="18.88671875" bestFit="1" customWidth="1"/>
    <col min="2" max="2" width="19.88671875" bestFit="1" customWidth="1"/>
    <col min="3" max="3" width="17.5546875" bestFit="1" customWidth="1"/>
    <col min="4" max="4" width="18.88671875" bestFit="1" customWidth="1"/>
    <col min="5" max="5" width="19.5546875" bestFit="1" customWidth="1"/>
    <col min="6" max="6" width="15.5546875" bestFit="1" customWidth="1"/>
    <col min="7" max="7" width="19.33203125" bestFit="1" customWidth="1"/>
  </cols>
  <sheetData>
    <row r="3" spans="1:7" x14ac:dyDescent="0.3">
      <c r="A3" t="s">
        <v>36</v>
      </c>
      <c r="B3" t="s">
        <v>37</v>
      </c>
      <c r="C3" t="s">
        <v>38</v>
      </c>
      <c r="D3" t="s">
        <v>39</v>
      </c>
      <c r="E3" t="s">
        <v>40</v>
      </c>
      <c r="F3" t="s">
        <v>41</v>
      </c>
      <c r="G3" t="s">
        <v>42</v>
      </c>
    </row>
    <row r="4" spans="1:7" x14ac:dyDescent="0.3">
      <c r="A4" s="29">
        <v>293152</v>
      </c>
      <c r="B4" s="29">
        <v>609976</v>
      </c>
      <c r="C4" s="29">
        <v>73750</v>
      </c>
      <c r="D4" s="29">
        <v>280581</v>
      </c>
      <c r="E4" s="29">
        <v>139593</v>
      </c>
      <c r="F4" s="29">
        <v>96050</v>
      </c>
      <c r="G4" s="29">
        <v>22410</v>
      </c>
    </row>
    <row r="10" spans="1:7" x14ac:dyDescent="0.3">
      <c r="C10" t="s">
        <v>50</v>
      </c>
      <c r="D10" t="s">
        <v>51</v>
      </c>
    </row>
    <row r="11" spans="1:7" x14ac:dyDescent="0.3">
      <c r="C11" t="s">
        <v>46</v>
      </c>
      <c r="D11" s="29" t="s">
        <v>55</v>
      </c>
    </row>
    <row r="12" spans="1:7" x14ac:dyDescent="0.3">
      <c r="C12" t="s">
        <v>47</v>
      </c>
      <c r="D12" s="29" t="s">
        <v>56</v>
      </c>
    </row>
    <row r="13" spans="1:7" x14ac:dyDescent="0.3">
      <c r="C13" t="s">
        <v>48</v>
      </c>
      <c r="D13" s="29">
        <v>73750</v>
      </c>
    </row>
    <row r="14" spans="1:7" x14ac:dyDescent="0.3">
      <c r="C14" t="s">
        <v>49</v>
      </c>
      <c r="D14" s="29">
        <v>280581</v>
      </c>
    </row>
    <row r="15" spans="1:7" x14ac:dyDescent="0.3">
      <c r="C15" t="s">
        <v>52</v>
      </c>
      <c r="D15" s="29">
        <v>139593</v>
      </c>
    </row>
    <row r="16" spans="1:7" x14ac:dyDescent="0.3">
      <c r="C16" t="s">
        <v>53</v>
      </c>
      <c r="D16" s="29">
        <v>96050</v>
      </c>
    </row>
    <row r="17" spans="3:4" x14ac:dyDescent="0.3">
      <c r="C17" t="s">
        <v>54</v>
      </c>
      <c r="D17" s="29">
        <v>22410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23C9C-539D-4A1D-A688-D623FE7227A3}">
  <dimension ref="A3:B11"/>
  <sheetViews>
    <sheetView workbookViewId="0">
      <selection activeCell="J7" sqref="J7"/>
    </sheetView>
  </sheetViews>
  <sheetFormatPr defaultRowHeight="14.4" x14ac:dyDescent="0.3"/>
  <cols>
    <col min="1" max="1" width="12.5546875" bestFit="1" customWidth="1"/>
    <col min="2" max="2" width="20.5546875" bestFit="1" customWidth="1"/>
  </cols>
  <sheetData>
    <row r="3" spans="1:2" x14ac:dyDescent="0.3">
      <c r="A3" s="6" t="s">
        <v>13</v>
      </c>
      <c r="B3" t="s">
        <v>57</v>
      </c>
    </row>
    <row r="4" spans="1:2" x14ac:dyDescent="0.3">
      <c r="A4" s="4" t="s">
        <v>53</v>
      </c>
      <c r="B4" s="29">
        <v>96050</v>
      </c>
    </row>
    <row r="5" spans="1:2" x14ac:dyDescent="0.3">
      <c r="A5" s="4" t="s">
        <v>52</v>
      </c>
      <c r="B5" s="29">
        <v>139593</v>
      </c>
    </row>
    <row r="6" spans="1:2" x14ac:dyDescent="0.3">
      <c r="A6" s="4" t="s">
        <v>47</v>
      </c>
      <c r="B6" s="29">
        <v>609976</v>
      </c>
    </row>
    <row r="7" spans="1:2" x14ac:dyDescent="0.3">
      <c r="A7" s="4" t="s">
        <v>49</v>
      </c>
      <c r="B7" s="29">
        <v>280581</v>
      </c>
    </row>
    <row r="8" spans="1:2" x14ac:dyDescent="0.3">
      <c r="A8" s="4" t="s">
        <v>54</v>
      </c>
      <c r="B8" s="29">
        <v>22410</v>
      </c>
    </row>
    <row r="9" spans="1:2" x14ac:dyDescent="0.3">
      <c r="A9" s="4" t="s">
        <v>48</v>
      </c>
      <c r="B9" s="29">
        <v>73750</v>
      </c>
    </row>
    <row r="10" spans="1:2" x14ac:dyDescent="0.3">
      <c r="A10" s="4" t="s">
        <v>46</v>
      </c>
      <c r="B10" s="29">
        <v>293152</v>
      </c>
    </row>
    <row r="11" spans="1:2" x14ac:dyDescent="0.3">
      <c r="A11" s="4" t="s">
        <v>14</v>
      </c>
      <c r="B11" s="29">
        <v>1515512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6671F-26C2-4269-B563-0520D0621D4F}">
  <dimension ref="A1:B8"/>
  <sheetViews>
    <sheetView workbookViewId="0"/>
  </sheetViews>
  <sheetFormatPr defaultRowHeight="14.4" x14ac:dyDescent="0.3"/>
  <cols>
    <col min="1" max="1" width="9.44140625" customWidth="1"/>
    <col min="2" max="2" width="13.44140625" customWidth="1"/>
  </cols>
  <sheetData>
    <row r="1" spans="1:2" x14ac:dyDescent="0.3">
      <c r="A1" s="31" t="s">
        <v>50</v>
      </c>
      <c r="B1" s="31" t="s">
        <v>51</v>
      </c>
    </row>
    <row r="2" spans="1:2" x14ac:dyDescent="0.3">
      <c r="A2" s="2" t="s">
        <v>46</v>
      </c>
      <c r="B2" s="30">
        <v>293152</v>
      </c>
    </row>
    <row r="3" spans="1:2" x14ac:dyDescent="0.3">
      <c r="A3" s="2" t="s">
        <v>47</v>
      </c>
      <c r="B3" s="30">
        <v>609976</v>
      </c>
    </row>
    <row r="4" spans="1:2" x14ac:dyDescent="0.3">
      <c r="A4" s="2" t="s">
        <v>48</v>
      </c>
      <c r="B4" s="30">
        <v>73750</v>
      </c>
    </row>
    <row r="5" spans="1:2" x14ac:dyDescent="0.3">
      <c r="A5" s="2" t="s">
        <v>49</v>
      </c>
      <c r="B5" s="30">
        <v>280581</v>
      </c>
    </row>
    <row r="6" spans="1:2" x14ac:dyDescent="0.3">
      <c r="A6" s="2" t="s">
        <v>52</v>
      </c>
      <c r="B6" s="30">
        <v>139593</v>
      </c>
    </row>
    <row r="7" spans="1:2" x14ac:dyDescent="0.3">
      <c r="A7" s="2" t="s">
        <v>53</v>
      </c>
      <c r="B7" s="30">
        <v>96050</v>
      </c>
    </row>
    <row r="8" spans="1:2" x14ac:dyDescent="0.3">
      <c r="A8" s="2" t="s">
        <v>54</v>
      </c>
      <c r="B8" s="30">
        <v>22410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AC06-9D1D-4ED7-AA2D-687132295C6D}">
  <dimension ref="A1:R623"/>
  <sheetViews>
    <sheetView topLeftCell="A195" zoomScale="124" zoomScaleNormal="145" workbookViewId="0">
      <selection activeCell="E3" sqref="E3:E1001"/>
    </sheetView>
  </sheetViews>
  <sheetFormatPr defaultRowHeight="14.4" x14ac:dyDescent="0.3"/>
  <cols>
    <col min="2" max="2" width="16.109375" customWidth="1"/>
    <col min="4" max="4" width="13.5546875" customWidth="1"/>
    <col min="5" max="5" width="14.6640625" customWidth="1"/>
    <col min="6" max="6" width="16.21875" customWidth="1"/>
    <col min="7" max="7" width="14.77734375" customWidth="1"/>
    <col min="8" max="8" width="12.33203125" customWidth="1"/>
    <col min="9" max="9" width="11.77734375" bestFit="1" customWidth="1"/>
    <col min="10" max="11" width="13.5546875" customWidth="1"/>
    <col min="12" max="12" width="14.109375" customWidth="1"/>
    <col min="13" max="13" width="15.88671875" customWidth="1"/>
    <col min="15" max="15" width="11.77734375" customWidth="1"/>
    <col min="16" max="16" width="14.33203125" customWidth="1"/>
    <col min="17" max="17" width="15.21875" customWidth="1"/>
    <col min="18" max="18" width="16.77734375" customWidth="1"/>
  </cols>
  <sheetData>
    <row r="1" spans="1:18" x14ac:dyDescent="0.3">
      <c r="D1" s="28" t="s">
        <v>44</v>
      </c>
      <c r="E1" s="28"/>
      <c r="F1" s="28"/>
      <c r="G1" s="28"/>
      <c r="H1" s="28"/>
      <c r="I1" s="28"/>
      <c r="J1" s="28"/>
      <c r="K1" s="28"/>
      <c r="L1" s="28"/>
      <c r="M1" s="28"/>
      <c r="N1" s="28"/>
      <c r="O1" s="28"/>
      <c r="P1" s="28"/>
      <c r="Q1" s="28"/>
    </row>
    <row r="2" spans="1:18" ht="18" x14ac:dyDescent="0.35">
      <c r="A2" s="17" t="s">
        <v>17</v>
      </c>
      <c r="B2" s="1" t="s">
        <v>0</v>
      </c>
      <c r="C2" s="1" t="s">
        <v>1</v>
      </c>
      <c r="D2" s="1" t="s">
        <v>3</v>
      </c>
      <c r="E2" s="1" t="s">
        <v>3</v>
      </c>
      <c r="F2" s="1" t="s">
        <v>4</v>
      </c>
      <c r="G2" s="1" t="s">
        <v>4</v>
      </c>
      <c r="H2" s="1" t="s">
        <v>5</v>
      </c>
      <c r="I2" s="1" t="s">
        <v>5</v>
      </c>
      <c r="J2" s="1" t="s">
        <v>6</v>
      </c>
      <c r="K2" s="1" t="s">
        <v>6</v>
      </c>
      <c r="L2" s="1" t="s">
        <v>7</v>
      </c>
      <c r="M2" s="1" t="s">
        <v>7</v>
      </c>
      <c r="N2" s="1" t="s">
        <v>8</v>
      </c>
      <c r="O2" s="1" t="s">
        <v>8</v>
      </c>
      <c r="P2" s="1" t="s">
        <v>9</v>
      </c>
      <c r="Q2" s="1" t="s">
        <v>9</v>
      </c>
      <c r="R2" s="1" t="s">
        <v>2</v>
      </c>
    </row>
    <row r="3" spans="1:18" s="16" customFormat="1" x14ac:dyDescent="0.3">
      <c r="A3" s="22" t="s">
        <v>18</v>
      </c>
      <c r="B3" s="24">
        <v>45024</v>
      </c>
      <c r="C3" s="3" t="s">
        <v>10</v>
      </c>
      <c r="D3" s="2">
        <v>900</v>
      </c>
      <c r="E3" s="22">
        <f>SUM(D3:D623)-SUM(E6:E623)</f>
        <v>2700</v>
      </c>
      <c r="F3" s="3">
        <v>0</v>
      </c>
      <c r="G3" s="22" t="s">
        <v>30</v>
      </c>
      <c r="H3" s="3">
        <v>0</v>
      </c>
      <c r="I3" s="22" t="s">
        <v>30</v>
      </c>
      <c r="J3" s="3">
        <v>0</v>
      </c>
      <c r="K3" s="22" t="s">
        <v>30</v>
      </c>
      <c r="L3" s="3">
        <v>296</v>
      </c>
      <c r="M3" s="22" t="s">
        <v>31</v>
      </c>
      <c r="N3" s="3">
        <v>450</v>
      </c>
      <c r="O3" s="22" t="s">
        <v>32</v>
      </c>
      <c r="P3" s="2">
        <v>90</v>
      </c>
      <c r="Q3" s="22" t="s">
        <v>33</v>
      </c>
      <c r="R3" s="22">
        <v>7</v>
      </c>
    </row>
    <row r="4" spans="1:18" s="16" customFormat="1" x14ac:dyDescent="0.3">
      <c r="A4" s="22"/>
      <c r="B4" s="24"/>
      <c r="C4" s="3" t="s">
        <v>11</v>
      </c>
      <c r="D4" s="3">
        <v>900</v>
      </c>
      <c r="E4" s="21"/>
      <c r="F4" s="3">
        <v>0</v>
      </c>
      <c r="G4" s="21"/>
      <c r="H4" s="3">
        <v>0</v>
      </c>
      <c r="I4" s="21"/>
      <c r="J4" s="2">
        <v>0</v>
      </c>
      <c r="K4" s="21"/>
      <c r="L4" s="3">
        <v>296</v>
      </c>
      <c r="M4" s="21"/>
      <c r="N4" s="3">
        <v>450</v>
      </c>
      <c r="O4" s="21"/>
      <c r="P4" s="3">
        <v>90</v>
      </c>
      <c r="Q4" s="21"/>
      <c r="R4" s="22"/>
    </row>
    <row r="5" spans="1:18" s="16" customFormat="1" x14ac:dyDescent="0.3">
      <c r="A5" s="22"/>
      <c r="B5" s="24"/>
      <c r="C5" s="3" t="s">
        <v>12</v>
      </c>
      <c r="D5" s="3">
        <v>900</v>
      </c>
      <c r="E5" s="21"/>
      <c r="F5" s="3">
        <v>0</v>
      </c>
      <c r="G5" s="21"/>
      <c r="H5" s="3">
        <v>0</v>
      </c>
      <c r="I5" s="21"/>
      <c r="J5" s="3">
        <v>0</v>
      </c>
      <c r="K5" s="21"/>
      <c r="L5" s="3">
        <v>296</v>
      </c>
      <c r="M5" s="21"/>
      <c r="N5" s="3">
        <v>400</v>
      </c>
      <c r="O5" s="21"/>
      <c r="P5" s="3">
        <v>90</v>
      </c>
      <c r="Q5" s="21"/>
      <c r="R5" s="22"/>
    </row>
    <row r="6" spans="1:18" x14ac:dyDescent="0.3">
      <c r="A6" s="22"/>
      <c r="B6" s="24">
        <v>45025</v>
      </c>
      <c r="C6" s="2" t="s">
        <v>10</v>
      </c>
      <c r="D6" s="2">
        <v>920</v>
      </c>
      <c r="E6" s="22">
        <f>SUM(D6:D623)-SUM(E9:E623)</f>
        <v>2760</v>
      </c>
      <c r="F6" s="2">
        <v>0</v>
      </c>
      <c r="G6" s="22">
        <f>SUM(F6:F623)-SUM(G9:G623)</f>
        <v>0</v>
      </c>
      <c r="H6" s="2">
        <v>0</v>
      </c>
      <c r="I6" s="22">
        <f>SUM(H6:H623)-SUM(I9:I623)</f>
        <v>0</v>
      </c>
      <c r="J6" s="2">
        <v>0</v>
      </c>
      <c r="K6" s="22">
        <f>SUM(J6:J623)-SUM(K9:K623)</f>
        <v>0</v>
      </c>
      <c r="L6" s="2">
        <v>272</v>
      </c>
      <c r="M6" s="22">
        <f>SUM(L6:L623)-SUM(M9:M623)</f>
        <v>754</v>
      </c>
      <c r="N6" s="2">
        <v>650</v>
      </c>
      <c r="O6" s="22">
        <f>SUM(N6:N623)-SUM(O9:O623)</f>
        <v>1650</v>
      </c>
      <c r="P6" s="2">
        <v>90</v>
      </c>
      <c r="Q6" s="22">
        <f>SUM(P6:P623)-SUM(Q9:Q623)</f>
        <v>270</v>
      </c>
      <c r="R6" s="21">
        <v>7.5</v>
      </c>
    </row>
    <row r="7" spans="1:18" x14ac:dyDescent="0.3">
      <c r="A7" s="22"/>
      <c r="B7" s="24"/>
      <c r="C7" s="2" t="s">
        <v>11</v>
      </c>
      <c r="D7" s="2">
        <v>920</v>
      </c>
      <c r="E7" s="21"/>
      <c r="F7" s="2">
        <v>0</v>
      </c>
      <c r="G7" s="21"/>
      <c r="H7" s="2">
        <v>0</v>
      </c>
      <c r="I7" s="21"/>
      <c r="J7" s="2">
        <v>0</v>
      </c>
      <c r="K7" s="21"/>
      <c r="L7" s="2">
        <v>248</v>
      </c>
      <c r="M7" s="21"/>
      <c r="N7" s="2">
        <v>650</v>
      </c>
      <c r="O7" s="21"/>
      <c r="P7" s="2">
        <v>90</v>
      </c>
      <c r="Q7" s="21"/>
      <c r="R7" s="21"/>
    </row>
    <row r="8" spans="1:18" x14ac:dyDescent="0.3">
      <c r="A8" s="22"/>
      <c r="B8" s="24"/>
      <c r="C8" s="2" t="s">
        <v>12</v>
      </c>
      <c r="D8" s="2">
        <v>920</v>
      </c>
      <c r="E8" s="21"/>
      <c r="F8" s="2">
        <v>0</v>
      </c>
      <c r="G8" s="21"/>
      <c r="H8" s="2">
        <v>0</v>
      </c>
      <c r="I8" s="21"/>
      <c r="J8" s="2">
        <v>0</v>
      </c>
      <c r="K8" s="21"/>
      <c r="L8" s="2">
        <v>234</v>
      </c>
      <c r="M8" s="21"/>
      <c r="N8" s="2">
        <v>350</v>
      </c>
      <c r="O8" s="21"/>
      <c r="P8" s="2">
        <v>90</v>
      </c>
      <c r="Q8" s="21"/>
      <c r="R8" s="21"/>
    </row>
    <row r="9" spans="1:18" x14ac:dyDescent="0.3">
      <c r="A9" s="22"/>
      <c r="B9" s="24">
        <v>45026</v>
      </c>
      <c r="C9" s="2" t="s">
        <v>10</v>
      </c>
      <c r="D9" s="2">
        <v>920</v>
      </c>
      <c r="E9" s="22">
        <f>SUM(D9:D623)-SUM(E12:E623)</f>
        <v>2700</v>
      </c>
      <c r="F9" s="2">
        <v>0</v>
      </c>
      <c r="G9" s="22">
        <f>SUM(F9:F623)-SUM(G12:G623)</f>
        <v>0</v>
      </c>
      <c r="H9" s="2">
        <v>0</v>
      </c>
      <c r="I9" s="22">
        <f>SUM(H9:H623)-SUM(I12:I623)</f>
        <v>0</v>
      </c>
      <c r="J9" s="2">
        <v>0</v>
      </c>
      <c r="K9" s="22">
        <f>SUM(J9:J623)-SUM(K12:K623)</f>
        <v>0</v>
      </c>
      <c r="L9" s="2">
        <v>264</v>
      </c>
      <c r="M9" s="22">
        <f>SUM(L9:L623)-SUM(M12:M623)</f>
        <v>800</v>
      </c>
      <c r="N9" s="2">
        <v>750</v>
      </c>
      <c r="O9" s="22">
        <f>SUM(N9:N623)-SUM(O12:O623)</f>
        <v>1600</v>
      </c>
      <c r="P9" s="2">
        <v>90</v>
      </c>
      <c r="Q9" s="22">
        <f>SUM(P9:P623)-SUM(Q12:Q623)</f>
        <v>270</v>
      </c>
      <c r="R9" s="21">
        <v>8</v>
      </c>
    </row>
    <row r="10" spans="1:18" x14ac:dyDescent="0.3">
      <c r="A10" s="22"/>
      <c r="B10" s="24"/>
      <c r="C10" s="2" t="s">
        <v>11</v>
      </c>
      <c r="D10" s="2">
        <v>920</v>
      </c>
      <c r="E10" s="21"/>
      <c r="F10" s="2">
        <v>0</v>
      </c>
      <c r="G10" s="21"/>
      <c r="H10" s="2">
        <v>0</v>
      </c>
      <c r="I10" s="21"/>
      <c r="J10" s="2">
        <v>0</v>
      </c>
      <c r="K10" s="21"/>
      <c r="L10" s="2">
        <v>264</v>
      </c>
      <c r="M10" s="21"/>
      <c r="N10" s="2">
        <v>450</v>
      </c>
      <c r="O10" s="21"/>
      <c r="P10" s="2">
        <v>90</v>
      </c>
      <c r="Q10" s="21"/>
      <c r="R10" s="21"/>
    </row>
    <row r="11" spans="1:18" x14ac:dyDescent="0.3">
      <c r="A11" s="22"/>
      <c r="B11" s="24"/>
      <c r="C11" s="2" t="s">
        <v>12</v>
      </c>
      <c r="D11" s="2">
        <v>860</v>
      </c>
      <c r="E11" s="21"/>
      <c r="F11" s="2">
        <v>0</v>
      </c>
      <c r="G11" s="21"/>
      <c r="H11" s="2">
        <v>0</v>
      </c>
      <c r="I11" s="21"/>
      <c r="J11" s="2">
        <v>0</v>
      </c>
      <c r="K11" s="21"/>
      <c r="L11" s="2">
        <v>272</v>
      </c>
      <c r="M11" s="21"/>
      <c r="N11" s="2">
        <v>400</v>
      </c>
      <c r="O11" s="21"/>
      <c r="P11" s="2">
        <v>90</v>
      </c>
      <c r="Q11" s="21"/>
      <c r="R11" s="21"/>
    </row>
    <row r="12" spans="1:18" x14ac:dyDescent="0.3">
      <c r="A12" s="22"/>
      <c r="B12" s="24">
        <v>45027</v>
      </c>
      <c r="C12" s="2" t="s">
        <v>10</v>
      </c>
      <c r="D12" s="2">
        <v>920</v>
      </c>
      <c r="E12" s="22">
        <f>SUM(D12:D623)-SUM(E15:E623)</f>
        <v>2700</v>
      </c>
      <c r="F12" s="2">
        <v>0</v>
      </c>
      <c r="G12" s="22">
        <f>SUM(F12:F623)-SUM(G15:G623)</f>
        <v>0</v>
      </c>
      <c r="H12" s="2">
        <v>0</v>
      </c>
      <c r="I12" s="22">
        <f>SUM(H12:H623)-SUM(I15:I623)</f>
        <v>0</v>
      </c>
      <c r="J12" s="2">
        <v>0</v>
      </c>
      <c r="K12" s="22">
        <f>SUM(J12:J623)-SUM(K15:K623)</f>
        <v>0</v>
      </c>
      <c r="L12" s="2">
        <v>264</v>
      </c>
      <c r="M12" s="22">
        <f>SUM(L12:L623)-SUM(M15:M623)</f>
        <v>770</v>
      </c>
      <c r="N12" s="2">
        <v>650</v>
      </c>
      <c r="O12" s="22">
        <f>SUM(N12:N623)-SUM(O15:O623)</f>
        <v>1650</v>
      </c>
      <c r="P12" s="2">
        <v>90</v>
      </c>
      <c r="Q12" s="22">
        <f>SUM(P12:P623)-SUM(Q15:Q623)</f>
        <v>270</v>
      </c>
      <c r="R12" s="21">
        <v>7</v>
      </c>
    </row>
    <row r="13" spans="1:18" x14ac:dyDescent="0.3">
      <c r="A13" s="22"/>
      <c r="B13" s="24"/>
      <c r="C13" s="2" t="s">
        <v>11</v>
      </c>
      <c r="D13" s="2">
        <v>920</v>
      </c>
      <c r="E13" s="21"/>
      <c r="F13" s="2">
        <v>0</v>
      </c>
      <c r="G13" s="21"/>
      <c r="H13" s="2">
        <v>0</v>
      </c>
      <c r="I13" s="21"/>
      <c r="J13" s="2">
        <v>0</v>
      </c>
      <c r="K13" s="21"/>
      <c r="L13" s="2">
        <v>258</v>
      </c>
      <c r="M13" s="21"/>
      <c r="N13" s="2">
        <v>400</v>
      </c>
      <c r="O13" s="21"/>
      <c r="P13" s="2">
        <v>90</v>
      </c>
      <c r="Q13" s="21"/>
      <c r="R13" s="21"/>
    </row>
    <row r="14" spans="1:18" x14ac:dyDescent="0.3">
      <c r="A14" s="22"/>
      <c r="B14" s="24"/>
      <c r="C14" s="2" t="s">
        <v>12</v>
      </c>
      <c r="D14" s="2">
        <v>860</v>
      </c>
      <c r="E14" s="21"/>
      <c r="F14" s="2">
        <v>0</v>
      </c>
      <c r="G14" s="21"/>
      <c r="H14" s="2">
        <v>0</v>
      </c>
      <c r="I14" s="21"/>
      <c r="J14" s="2">
        <v>0</v>
      </c>
      <c r="K14" s="21"/>
      <c r="L14" s="2">
        <v>248</v>
      </c>
      <c r="M14" s="21"/>
      <c r="N14" s="2">
        <v>600</v>
      </c>
      <c r="O14" s="21"/>
      <c r="P14" s="2">
        <v>90</v>
      </c>
      <c r="Q14" s="21"/>
      <c r="R14" s="21"/>
    </row>
    <row r="15" spans="1:18" x14ac:dyDescent="0.3">
      <c r="A15" s="22"/>
      <c r="B15" s="24">
        <v>45028</v>
      </c>
      <c r="C15" s="2" t="s">
        <v>10</v>
      </c>
      <c r="D15" s="2">
        <v>920</v>
      </c>
      <c r="E15" s="22">
        <f>SUM(D15:D623)-SUM(E18:E623)</f>
        <v>2700</v>
      </c>
      <c r="F15" s="2">
        <v>0</v>
      </c>
      <c r="G15" s="22">
        <f>SUM(F15:F623)-SUM(G18:G623)</f>
        <v>0</v>
      </c>
      <c r="H15" s="2">
        <v>0</v>
      </c>
      <c r="I15" s="22">
        <f>SUM(H15:H623)-SUM(I18:I623)</f>
        <v>0</v>
      </c>
      <c r="J15" s="2">
        <v>0</v>
      </c>
      <c r="K15" s="22">
        <f>SUM(J15:J623)-SUM(K18:K623)</f>
        <v>0</v>
      </c>
      <c r="L15" s="2">
        <v>244</v>
      </c>
      <c r="M15" s="22">
        <f>SUM(L15:L623)-SUM(M18:M623)</f>
        <v>712</v>
      </c>
      <c r="N15" s="2">
        <v>650</v>
      </c>
      <c r="O15" s="22">
        <f>SUM(N15:N623)-SUM(O18:O623)</f>
        <v>950</v>
      </c>
      <c r="P15" s="2">
        <v>0</v>
      </c>
      <c r="Q15" s="22">
        <f>SUM(P15:P623)-SUM(Q18:Q623)</f>
        <v>0</v>
      </c>
      <c r="R15" s="21">
        <v>7</v>
      </c>
    </row>
    <row r="16" spans="1:18" x14ac:dyDescent="0.3">
      <c r="A16" s="22"/>
      <c r="B16" s="24"/>
      <c r="C16" s="2" t="s">
        <v>11</v>
      </c>
      <c r="D16" s="2">
        <v>920</v>
      </c>
      <c r="E16" s="21"/>
      <c r="F16" s="2">
        <v>0</v>
      </c>
      <c r="G16" s="21"/>
      <c r="H16" s="2">
        <v>0</v>
      </c>
      <c r="I16" s="21"/>
      <c r="J16" s="2">
        <v>0</v>
      </c>
      <c r="K16" s="21"/>
      <c r="L16" s="2">
        <v>240</v>
      </c>
      <c r="M16" s="21"/>
      <c r="N16" s="2">
        <v>0</v>
      </c>
      <c r="O16" s="21"/>
      <c r="P16" s="2">
        <v>0</v>
      </c>
      <c r="Q16" s="21"/>
      <c r="R16" s="21"/>
    </row>
    <row r="17" spans="1:18" x14ac:dyDescent="0.3">
      <c r="A17" s="22"/>
      <c r="B17" s="24"/>
      <c r="C17" s="2" t="s">
        <v>12</v>
      </c>
      <c r="D17" s="2">
        <v>860</v>
      </c>
      <c r="E17" s="21"/>
      <c r="F17" s="2">
        <v>0</v>
      </c>
      <c r="G17" s="21"/>
      <c r="H17" s="2">
        <v>0</v>
      </c>
      <c r="I17" s="21"/>
      <c r="J17" s="2">
        <v>0</v>
      </c>
      <c r="K17" s="21"/>
      <c r="L17" s="2">
        <v>228</v>
      </c>
      <c r="M17" s="21"/>
      <c r="N17" s="2">
        <v>300</v>
      </c>
      <c r="O17" s="21"/>
      <c r="P17" s="2">
        <v>0</v>
      </c>
      <c r="Q17" s="21"/>
      <c r="R17" s="21"/>
    </row>
    <row r="18" spans="1:18" x14ac:dyDescent="0.3">
      <c r="A18" s="22"/>
      <c r="B18" s="24">
        <v>45029</v>
      </c>
      <c r="C18" s="2" t="s">
        <v>10</v>
      </c>
      <c r="D18" s="2">
        <v>960</v>
      </c>
      <c r="E18" s="22">
        <f>SUM(D18:D623)-SUM(E21:E623)</f>
        <v>2780</v>
      </c>
      <c r="F18" s="2">
        <v>0</v>
      </c>
      <c r="G18" s="22">
        <f>SUM(F18:F623)-SUM(G21:G623)</f>
        <v>0</v>
      </c>
      <c r="H18" s="2">
        <v>0</v>
      </c>
      <c r="I18" s="22">
        <f>SUM(H18:H623)-SUM(I21:I623)</f>
        <v>0</v>
      </c>
      <c r="J18" s="2">
        <v>0</v>
      </c>
      <c r="K18" s="22">
        <f>SUM(J18:J623)-SUM(K21:K623)</f>
        <v>0</v>
      </c>
      <c r="L18" s="2">
        <v>240</v>
      </c>
      <c r="M18" s="22">
        <f>SUM(L18:L623)-SUM(M21:M623)</f>
        <v>696</v>
      </c>
      <c r="N18" s="2">
        <v>300</v>
      </c>
      <c r="O18" s="22">
        <f>SUM(N18:N623)-SUM(O21:O623)</f>
        <v>1150</v>
      </c>
      <c r="P18" s="2">
        <v>0</v>
      </c>
      <c r="Q18" s="22">
        <f>SUM(P18:P623)-SUM(Q21:Q623)</f>
        <v>0</v>
      </c>
      <c r="R18" s="21">
        <v>6</v>
      </c>
    </row>
    <row r="19" spans="1:18" x14ac:dyDescent="0.3">
      <c r="A19" s="22"/>
      <c r="B19" s="24"/>
      <c r="C19" s="2" t="s">
        <v>11</v>
      </c>
      <c r="D19" s="2">
        <v>960</v>
      </c>
      <c r="E19" s="21"/>
      <c r="F19" s="2">
        <v>0</v>
      </c>
      <c r="G19" s="21"/>
      <c r="H19" s="2">
        <v>0</v>
      </c>
      <c r="I19" s="21"/>
      <c r="J19" s="2">
        <v>0</v>
      </c>
      <c r="K19" s="21"/>
      <c r="L19" s="2">
        <v>224</v>
      </c>
      <c r="M19" s="21"/>
      <c r="N19" s="2">
        <v>300</v>
      </c>
      <c r="O19" s="21"/>
      <c r="P19" s="2">
        <v>0</v>
      </c>
      <c r="Q19" s="21"/>
      <c r="R19" s="21"/>
    </row>
    <row r="20" spans="1:18" x14ac:dyDescent="0.3">
      <c r="A20" s="22"/>
      <c r="B20" s="24"/>
      <c r="C20" s="2" t="s">
        <v>12</v>
      </c>
      <c r="D20" s="2">
        <v>860</v>
      </c>
      <c r="E20" s="21"/>
      <c r="F20" s="2">
        <v>0</v>
      </c>
      <c r="G20" s="21"/>
      <c r="H20" s="2">
        <v>0</v>
      </c>
      <c r="I20" s="21"/>
      <c r="J20" s="2">
        <v>0</v>
      </c>
      <c r="K20" s="21"/>
      <c r="L20" s="2">
        <v>232</v>
      </c>
      <c r="M20" s="21"/>
      <c r="N20" s="2">
        <v>550</v>
      </c>
      <c r="O20" s="21"/>
      <c r="P20" s="2">
        <v>0</v>
      </c>
      <c r="Q20" s="21"/>
      <c r="R20" s="21"/>
    </row>
    <row r="21" spans="1:18" x14ac:dyDescent="0.3">
      <c r="A21" s="22"/>
      <c r="B21" s="24">
        <v>45030</v>
      </c>
      <c r="C21" s="2" t="s">
        <v>10</v>
      </c>
      <c r="D21" s="2">
        <v>960</v>
      </c>
      <c r="E21" s="22">
        <f>SUM(D21:D623)-SUM(E24:E623)</f>
        <v>2780</v>
      </c>
      <c r="F21" s="2">
        <v>0</v>
      </c>
      <c r="G21" s="22">
        <f>SUM(F21:F623)-SUM(G24:G623)</f>
        <v>0</v>
      </c>
      <c r="H21" s="2">
        <v>0</v>
      </c>
      <c r="I21" s="22">
        <f>SUM(H21:H623)-SUM(I24:I623)</f>
        <v>0</v>
      </c>
      <c r="J21" s="2">
        <v>0</v>
      </c>
      <c r="K21" s="22">
        <f>SUM(J21:J623)-SUM(K24:K623)</f>
        <v>0</v>
      </c>
      <c r="L21" s="2">
        <v>240</v>
      </c>
      <c r="M21" s="22">
        <f>SUM(L21:L623)-SUM(M24:M623)</f>
        <v>704</v>
      </c>
      <c r="N21" s="2">
        <v>400</v>
      </c>
      <c r="O21" s="22">
        <f>SUM(N21:N623)-SUM(O24:O623)</f>
        <v>1000</v>
      </c>
      <c r="P21" s="2">
        <v>0</v>
      </c>
      <c r="Q21" s="22">
        <f>SUM(P21:P623)-SUM(Q24:Q623)</f>
        <v>0</v>
      </c>
      <c r="R21" s="21">
        <v>7</v>
      </c>
    </row>
    <row r="22" spans="1:18" x14ac:dyDescent="0.3">
      <c r="A22" s="22"/>
      <c r="B22" s="24"/>
      <c r="C22" s="2" t="s">
        <v>11</v>
      </c>
      <c r="D22" s="2">
        <v>960</v>
      </c>
      <c r="E22" s="21"/>
      <c r="F22" s="2">
        <v>0</v>
      </c>
      <c r="G22" s="21"/>
      <c r="H22" s="2">
        <v>0</v>
      </c>
      <c r="I22" s="21"/>
      <c r="J22" s="2">
        <v>0</v>
      </c>
      <c r="K22" s="21"/>
      <c r="L22" s="2">
        <v>240</v>
      </c>
      <c r="M22" s="21"/>
      <c r="N22" s="2">
        <v>300</v>
      </c>
      <c r="O22" s="21"/>
      <c r="P22" s="2">
        <v>0</v>
      </c>
      <c r="Q22" s="21"/>
      <c r="R22" s="21"/>
    </row>
    <row r="23" spans="1:18" x14ac:dyDescent="0.3">
      <c r="A23" s="22"/>
      <c r="B23" s="24"/>
      <c r="C23" s="2" t="s">
        <v>12</v>
      </c>
      <c r="D23" s="2">
        <v>860</v>
      </c>
      <c r="E23" s="21"/>
      <c r="F23" s="2">
        <v>0</v>
      </c>
      <c r="G23" s="21"/>
      <c r="H23" s="2">
        <v>0</v>
      </c>
      <c r="I23" s="21"/>
      <c r="J23" s="2">
        <v>0</v>
      </c>
      <c r="K23" s="21"/>
      <c r="L23" s="2">
        <v>224</v>
      </c>
      <c r="M23" s="21"/>
      <c r="N23" s="2">
        <v>300</v>
      </c>
      <c r="O23" s="21"/>
      <c r="P23" s="2">
        <v>0</v>
      </c>
      <c r="Q23" s="21"/>
      <c r="R23" s="21"/>
    </row>
    <row r="24" spans="1:18" x14ac:dyDescent="0.3">
      <c r="A24" s="22"/>
      <c r="B24" s="24">
        <v>45031</v>
      </c>
      <c r="C24" s="2" t="s">
        <v>10</v>
      </c>
      <c r="D24" s="2">
        <v>960</v>
      </c>
      <c r="E24" s="22">
        <f>SUM(D24:D623)-SUM(E27:E623)</f>
        <v>2780</v>
      </c>
      <c r="F24" s="2">
        <v>0</v>
      </c>
      <c r="G24" s="22">
        <f>SUM(F24:F623)-SUM(G27:G623)</f>
        <v>0</v>
      </c>
      <c r="H24" s="2">
        <v>0</v>
      </c>
      <c r="I24" s="22">
        <f>SUM(H24:H623)-SUM(I27:I623)</f>
        <v>0</v>
      </c>
      <c r="J24" s="2">
        <v>0</v>
      </c>
      <c r="K24" s="22">
        <f>SUM(J24:J623)-SUM(K27:K623)</f>
        <v>0</v>
      </c>
      <c r="L24" s="2">
        <v>240</v>
      </c>
      <c r="M24" s="22">
        <f>SUM(L24:L623)-SUM(M27:M623)</f>
        <v>634</v>
      </c>
      <c r="N24" s="2">
        <v>250</v>
      </c>
      <c r="O24" s="22">
        <f>SUM(N24:N623)-SUM(O27:O623)</f>
        <v>550</v>
      </c>
      <c r="P24" s="2">
        <v>0</v>
      </c>
      <c r="Q24" s="22">
        <f>SUM(P24:P623)-SUM(Q27:Q623)</f>
        <v>350</v>
      </c>
      <c r="R24" s="21">
        <v>7</v>
      </c>
    </row>
    <row r="25" spans="1:18" x14ac:dyDescent="0.3">
      <c r="A25" s="22"/>
      <c r="B25" s="24"/>
      <c r="C25" s="2" t="s">
        <v>11</v>
      </c>
      <c r="D25" s="2">
        <v>960</v>
      </c>
      <c r="E25" s="21"/>
      <c r="F25" s="2">
        <v>0</v>
      </c>
      <c r="G25" s="21"/>
      <c r="H25" s="2">
        <v>0</v>
      </c>
      <c r="I25" s="21"/>
      <c r="J25" s="2">
        <v>0</v>
      </c>
      <c r="K25" s="21"/>
      <c r="L25" s="2">
        <v>224</v>
      </c>
      <c r="M25" s="21"/>
      <c r="N25" s="2">
        <v>0</v>
      </c>
      <c r="O25" s="21"/>
      <c r="P25" s="2">
        <v>70</v>
      </c>
      <c r="Q25" s="21"/>
      <c r="R25" s="21"/>
    </row>
    <row r="26" spans="1:18" x14ac:dyDescent="0.3">
      <c r="A26" s="22"/>
      <c r="B26" s="24"/>
      <c r="C26" s="2" t="s">
        <v>12</v>
      </c>
      <c r="D26" s="2">
        <v>860</v>
      </c>
      <c r="E26" s="21"/>
      <c r="F26" s="2">
        <v>0</v>
      </c>
      <c r="G26" s="21"/>
      <c r="H26" s="2">
        <v>0</v>
      </c>
      <c r="I26" s="21"/>
      <c r="J26" s="2">
        <v>0</v>
      </c>
      <c r="K26" s="21"/>
      <c r="L26" s="2">
        <v>170</v>
      </c>
      <c r="M26" s="21"/>
      <c r="N26" s="2">
        <v>300</v>
      </c>
      <c r="O26" s="21"/>
      <c r="P26" s="2">
        <v>280</v>
      </c>
      <c r="Q26" s="21"/>
      <c r="R26" s="21"/>
    </row>
    <row r="27" spans="1:18" x14ac:dyDescent="0.3">
      <c r="A27" s="22"/>
      <c r="B27" s="24">
        <v>45032</v>
      </c>
      <c r="C27" s="2" t="s">
        <v>10</v>
      </c>
      <c r="D27" s="2">
        <v>980</v>
      </c>
      <c r="E27" s="22">
        <f>SUM(D27:D623)-SUM(E30:E623)</f>
        <v>2800</v>
      </c>
      <c r="F27" s="2">
        <v>0</v>
      </c>
      <c r="G27" s="22">
        <f>SUM(F27:F623)-SUM(G30:G623)</f>
        <v>0</v>
      </c>
      <c r="H27" s="2">
        <v>0</v>
      </c>
      <c r="I27" s="22">
        <f>SUM(H27:H623)-SUM(I30:I623)</f>
        <v>0</v>
      </c>
      <c r="J27" s="2">
        <v>0</v>
      </c>
      <c r="K27" s="22">
        <f>SUM(J27:J623)-SUM(K30:K623)</f>
        <v>0</v>
      </c>
      <c r="L27" s="2">
        <v>224</v>
      </c>
      <c r="M27" s="22">
        <f>SUM(L27:L623)-SUM(M30:M623)</f>
        <v>590</v>
      </c>
      <c r="N27" s="2">
        <v>350</v>
      </c>
      <c r="O27" s="22">
        <f>SUM(N27:N623)-SUM(O30:O623)</f>
        <v>800</v>
      </c>
      <c r="P27" s="2">
        <v>0</v>
      </c>
      <c r="Q27" s="22">
        <f>SUM(P27:P623)-SUM(Q30:Q623)</f>
        <v>350</v>
      </c>
      <c r="R27" s="21">
        <v>7</v>
      </c>
    </row>
    <row r="28" spans="1:18" x14ac:dyDescent="0.3">
      <c r="A28" s="22"/>
      <c r="B28" s="24"/>
      <c r="C28" s="2" t="s">
        <v>11</v>
      </c>
      <c r="D28" s="2">
        <v>960</v>
      </c>
      <c r="E28" s="21"/>
      <c r="F28" s="2">
        <v>0</v>
      </c>
      <c r="G28" s="21"/>
      <c r="H28" s="2">
        <v>0</v>
      </c>
      <c r="I28" s="21"/>
      <c r="J28" s="2">
        <v>0</v>
      </c>
      <c r="K28" s="21"/>
      <c r="L28" s="2">
        <v>196</v>
      </c>
      <c r="M28" s="21"/>
      <c r="N28" s="2">
        <v>0</v>
      </c>
      <c r="O28" s="21"/>
      <c r="P28" s="2">
        <v>0</v>
      </c>
      <c r="Q28" s="21"/>
      <c r="R28" s="21"/>
    </row>
    <row r="29" spans="1:18" x14ac:dyDescent="0.3">
      <c r="A29" s="22"/>
      <c r="B29" s="24"/>
      <c r="C29" s="2" t="s">
        <v>12</v>
      </c>
      <c r="D29" s="2">
        <v>860</v>
      </c>
      <c r="E29" s="21"/>
      <c r="F29" s="2">
        <v>0</v>
      </c>
      <c r="G29" s="21"/>
      <c r="H29" s="2">
        <v>0</v>
      </c>
      <c r="I29" s="21"/>
      <c r="J29" s="2">
        <v>0</v>
      </c>
      <c r="K29" s="21"/>
      <c r="L29" s="2">
        <v>170</v>
      </c>
      <c r="M29" s="21"/>
      <c r="N29" s="2">
        <v>450</v>
      </c>
      <c r="O29" s="21"/>
      <c r="P29" s="2">
        <v>350</v>
      </c>
      <c r="Q29" s="21"/>
      <c r="R29" s="21"/>
    </row>
    <row r="30" spans="1:18" x14ac:dyDescent="0.3">
      <c r="A30" s="22"/>
      <c r="B30" s="24">
        <v>45033</v>
      </c>
      <c r="C30" s="2" t="s">
        <v>10</v>
      </c>
      <c r="D30" s="2">
        <v>880</v>
      </c>
      <c r="E30" s="22">
        <f>SUM(D30:D623)-SUM(E33:E623)</f>
        <v>2800</v>
      </c>
      <c r="F30" s="2">
        <v>0</v>
      </c>
      <c r="G30" s="22">
        <f>SUM(F30:F623)-SUM(G33:G623)</f>
        <v>0</v>
      </c>
      <c r="H30" s="2">
        <v>0</v>
      </c>
      <c r="I30" s="22">
        <f>SUM(H30:H623)-SUM(I33:I623)</f>
        <v>0</v>
      </c>
      <c r="J30" s="2">
        <v>0</v>
      </c>
      <c r="K30" s="22">
        <f>SUM(J30:J623)-SUM(K33:K623)</f>
        <v>0</v>
      </c>
      <c r="L30" s="2">
        <v>232</v>
      </c>
      <c r="M30" s="22">
        <f>SUM(L30:L623)-SUM(M33:M623)</f>
        <v>634</v>
      </c>
      <c r="N30" s="2">
        <v>200</v>
      </c>
      <c r="O30" s="22">
        <f>SUM(N30:N623)-SUM(O33:O623)</f>
        <v>900</v>
      </c>
      <c r="P30" s="2">
        <v>0</v>
      </c>
      <c r="Q30" s="22">
        <f>SUM(P30:P623)-SUM(Q33:Q623)</f>
        <v>105</v>
      </c>
      <c r="R30" s="21">
        <v>7</v>
      </c>
    </row>
    <row r="31" spans="1:18" x14ac:dyDescent="0.3">
      <c r="A31" s="22"/>
      <c r="B31" s="24"/>
      <c r="C31" s="2" t="s">
        <v>11</v>
      </c>
      <c r="D31" s="2">
        <v>960</v>
      </c>
      <c r="E31" s="21"/>
      <c r="F31" s="2">
        <v>0</v>
      </c>
      <c r="G31" s="21"/>
      <c r="H31" s="2">
        <v>0</v>
      </c>
      <c r="I31" s="21"/>
      <c r="J31" s="2">
        <v>0</v>
      </c>
      <c r="K31" s="21"/>
      <c r="L31" s="2">
        <v>230</v>
      </c>
      <c r="M31" s="21"/>
      <c r="N31" s="2">
        <v>350</v>
      </c>
      <c r="O31" s="21"/>
      <c r="P31" s="2">
        <v>35</v>
      </c>
      <c r="Q31" s="21"/>
      <c r="R31" s="21"/>
    </row>
    <row r="32" spans="1:18" x14ac:dyDescent="0.3">
      <c r="A32" s="22"/>
      <c r="B32" s="24"/>
      <c r="C32" s="2" t="s">
        <v>12</v>
      </c>
      <c r="D32" s="2">
        <v>960</v>
      </c>
      <c r="E32" s="21"/>
      <c r="F32" s="2">
        <v>0</v>
      </c>
      <c r="G32" s="21"/>
      <c r="H32" s="2">
        <v>0</v>
      </c>
      <c r="I32" s="21"/>
      <c r="J32" s="2">
        <v>0</v>
      </c>
      <c r="K32" s="21"/>
      <c r="L32" s="2">
        <v>172</v>
      </c>
      <c r="M32" s="21"/>
      <c r="N32" s="2">
        <v>350</v>
      </c>
      <c r="O32" s="21"/>
      <c r="P32" s="2">
        <v>70</v>
      </c>
      <c r="Q32" s="21"/>
      <c r="R32" s="21"/>
    </row>
    <row r="33" spans="1:18" x14ac:dyDescent="0.3">
      <c r="A33" s="22"/>
      <c r="B33" s="24">
        <v>45034</v>
      </c>
      <c r="C33" s="2" t="s">
        <v>10</v>
      </c>
      <c r="D33" s="2">
        <v>960</v>
      </c>
      <c r="E33" s="22">
        <f>SUM(D33:D623)-SUM(E36:E623)</f>
        <v>2780</v>
      </c>
      <c r="F33" s="2">
        <v>0</v>
      </c>
      <c r="G33" s="22">
        <f>SUM(F33:F623)-SUM(G36:G623)</f>
        <v>0</v>
      </c>
      <c r="H33" s="2">
        <v>0</v>
      </c>
      <c r="I33" s="22">
        <f>SUM(H33:H623)-SUM(I36:I623)</f>
        <v>0</v>
      </c>
      <c r="J33" s="2">
        <v>0</v>
      </c>
      <c r="K33" s="22">
        <f>SUM(J33:J623)-SUM(K36:K623)</f>
        <v>0</v>
      </c>
      <c r="L33" s="2">
        <v>240</v>
      </c>
      <c r="M33" s="22">
        <f>SUM(L33:L623)-SUM(M36:M623)</f>
        <v>701</v>
      </c>
      <c r="N33" s="2">
        <v>0</v>
      </c>
      <c r="O33" s="22">
        <f>SUM(N33:N623)-SUM(O36:O623)</f>
        <v>650</v>
      </c>
      <c r="P33" s="2">
        <v>0</v>
      </c>
      <c r="Q33" s="22">
        <f>SUM(P33:P623)-SUM(Q36:Q623)</f>
        <v>35</v>
      </c>
      <c r="R33" s="21">
        <v>6</v>
      </c>
    </row>
    <row r="34" spans="1:18" x14ac:dyDescent="0.3">
      <c r="A34" s="22"/>
      <c r="B34" s="24"/>
      <c r="C34" s="2" t="s">
        <v>11</v>
      </c>
      <c r="D34" s="2">
        <v>960</v>
      </c>
      <c r="E34" s="21"/>
      <c r="F34" s="2">
        <v>0</v>
      </c>
      <c r="G34" s="21"/>
      <c r="H34" s="2">
        <v>0</v>
      </c>
      <c r="I34" s="21"/>
      <c r="J34" s="2">
        <v>0</v>
      </c>
      <c r="K34" s="21"/>
      <c r="L34" s="2">
        <v>229</v>
      </c>
      <c r="M34" s="21"/>
      <c r="N34" s="2">
        <v>300</v>
      </c>
      <c r="O34" s="21"/>
      <c r="P34" s="2">
        <v>35</v>
      </c>
      <c r="Q34" s="21"/>
      <c r="R34" s="21"/>
    </row>
    <row r="35" spans="1:18" x14ac:dyDescent="0.3">
      <c r="A35" s="22"/>
      <c r="B35" s="24"/>
      <c r="C35" s="2" t="s">
        <v>12</v>
      </c>
      <c r="D35" s="2">
        <v>860</v>
      </c>
      <c r="E35" s="21"/>
      <c r="F35" s="2">
        <v>0</v>
      </c>
      <c r="G35" s="21"/>
      <c r="H35" s="2">
        <v>0</v>
      </c>
      <c r="I35" s="21"/>
      <c r="J35" s="2">
        <v>0</v>
      </c>
      <c r="K35" s="21"/>
      <c r="L35" s="2">
        <v>232</v>
      </c>
      <c r="M35" s="21"/>
      <c r="N35" s="2">
        <v>350</v>
      </c>
      <c r="O35" s="21"/>
      <c r="P35" s="2">
        <v>0</v>
      </c>
      <c r="Q35" s="21"/>
      <c r="R35" s="21"/>
    </row>
    <row r="36" spans="1:18" x14ac:dyDescent="0.3">
      <c r="A36" s="22"/>
      <c r="B36" s="24">
        <v>45035</v>
      </c>
      <c r="C36" s="2" t="s">
        <v>10</v>
      </c>
      <c r="D36" s="2">
        <v>960</v>
      </c>
      <c r="E36" s="22">
        <f>SUM(D36:D626)-SUM(E39:E626)</f>
        <v>2700</v>
      </c>
      <c r="F36" s="2">
        <v>0</v>
      </c>
      <c r="G36" s="22">
        <f>SUM(F36:F626)-SUM(G39:G626)</f>
        <v>0</v>
      </c>
      <c r="H36" s="2">
        <v>0</v>
      </c>
      <c r="I36" s="22">
        <f>SUM(H36:H626)-SUM(I39:I626)</f>
        <v>0</v>
      </c>
      <c r="J36" s="2">
        <v>0</v>
      </c>
      <c r="K36" s="22">
        <f>SUM(J36:J626)-SUM(K39:K626)</f>
        <v>0</v>
      </c>
      <c r="L36" s="2">
        <v>216</v>
      </c>
      <c r="M36" s="22">
        <f>SUM(L36:L626)-SUM(M39:M626)</f>
        <v>568</v>
      </c>
      <c r="N36" s="2">
        <v>0</v>
      </c>
      <c r="O36" s="22">
        <f>SUM(N36:N626)-SUM(O39:O626)</f>
        <v>200</v>
      </c>
      <c r="P36" s="2">
        <v>0</v>
      </c>
      <c r="Q36" s="22">
        <f>SUM(P36:P626)-SUM(Q39:Q626)</f>
        <v>105</v>
      </c>
      <c r="R36" s="21">
        <v>6.5</v>
      </c>
    </row>
    <row r="37" spans="1:18" x14ac:dyDescent="0.3">
      <c r="A37" s="22"/>
      <c r="B37" s="24"/>
      <c r="C37" s="2" t="s">
        <v>11</v>
      </c>
      <c r="D37" s="2">
        <v>880</v>
      </c>
      <c r="E37" s="21"/>
      <c r="F37" s="2">
        <v>0</v>
      </c>
      <c r="G37" s="21"/>
      <c r="H37" s="2">
        <v>0</v>
      </c>
      <c r="I37" s="21"/>
      <c r="J37" s="2">
        <v>0</v>
      </c>
      <c r="K37" s="21"/>
      <c r="L37" s="2">
        <v>192</v>
      </c>
      <c r="M37" s="21"/>
      <c r="N37" s="2">
        <v>200</v>
      </c>
      <c r="O37" s="21"/>
      <c r="P37" s="2">
        <v>0</v>
      </c>
      <c r="Q37" s="21"/>
      <c r="R37" s="21"/>
    </row>
    <row r="38" spans="1:18" x14ac:dyDescent="0.3">
      <c r="A38" s="22"/>
      <c r="B38" s="24"/>
      <c r="C38" s="2" t="s">
        <v>12</v>
      </c>
      <c r="D38" s="2">
        <v>860</v>
      </c>
      <c r="E38" s="21"/>
      <c r="F38" s="2">
        <v>0</v>
      </c>
      <c r="G38" s="21"/>
      <c r="H38" s="2">
        <v>0</v>
      </c>
      <c r="I38" s="21"/>
      <c r="J38" s="2">
        <v>0</v>
      </c>
      <c r="K38" s="21"/>
      <c r="L38" s="2">
        <v>160</v>
      </c>
      <c r="M38" s="21"/>
      <c r="N38" s="2">
        <v>0</v>
      </c>
      <c r="O38" s="21"/>
      <c r="P38" s="2">
        <v>105</v>
      </c>
      <c r="Q38" s="21"/>
      <c r="R38" s="21"/>
    </row>
    <row r="39" spans="1:18" x14ac:dyDescent="0.3">
      <c r="A39" s="22"/>
      <c r="B39" s="24">
        <v>45036</v>
      </c>
      <c r="C39" s="2" t="s">
        <v>10</v>
      </c>
      <c r="D39" s="2">
        <v>960</v>
      </c>
      <c r="E39" s="22">
        <f>SUM(D39:D629)-SUM(E42:E629)</f>
        <v>2780</v>
      </c>
      <c r="F39" s="2">
        <v>0</v>
      </c>
      <c r="G39" s="22">
        <f>SUM(F39:F629)-SUM(G42:G629)</f>
        <v>0</v>
      </c>
      <c r="H39" s="2">
        <v>0</v>
      </c>
      <c r="I39" s="22">
        <f>SUM(H39:H629)-SUM(I42:I629)</f>
        <v>0</v>
      </c>
      <c r="J39" s="2">
        <v>0</v>
      </c>
      <c r="K39" s="22">
        <f>SUM(J39:J629)-SUM(K42:K629)</f>
        <v>0</v>
      </c>
      <c r="L39" s="2">
        <v>208</v>
      </c>
      <c r="M39" s="22">
        <f>SUM(L39:L629)-SUM(M42:M629)</f>
        <v>580</v>
      </c>
      <c r="N39" s="2">
        <v>0</v>
      </c>
      <c r="O39" s="22">
        <f>SUM(N39:N629)-SUM(O42:O629)</f>
        <v>500</v>
      </c>
      <c r="P39" s="2">
        <v>0</v>
      </c>
      <c r="Q39" s="22">
        <f>SUM(P39:P629)-SUM(Q42:Q629)</f>
        <v>0</v>
      </c>
      <c r="R39" s="21">
        <v>7</v>
      </c>
    </row>
    <row r="40" spans="1:18" x14ac:dyDescent="0.3">
      <c r="A40" s="22"/>
      <c r="B40" s="24"/>
      <c r="C40" s="2" t="s">
        <v>11</v>
      </c>
      <c r="D40" s="2">
        <v>960</v>
      </c>
      <c r="E40" s="21"/>
      <c r="F40" s="2">
        <v>0</v>
      </c>
      <c r="G40" s="21"/>
      <c r="H40" s="2">
        <v>0</v>
      </c>
      <c r="I40" s="21"/>
      <c r="J40" s="2">
        <v>0</v>
      </c>
      <c r="K40" s="21"/>
      <c r="L40" s="2">
        <v>232</v>
      </c>
      <c r="M40" s="21"/>
      <c r="N40" s="2">
        <v>250</v>
      </c>
      <c r="O40" s="21"/>
      <c r="P40" s="2">
        <v>0</v>
      </c>
      <c r="Q40" s="21"/>
      <c r="R40" s="21"/>
    </row>
    <row r="41" spans="1:18" x14ac:dyDescent="0.3">
      <c r="A41" s="22"/>
      <c r="B41" s="24"/>
      <c r="C41" s="2" t="s">
        <v>12</v>
      </c>
      <c r="D41" s="2">
        <v>860</v>
      </c>
      <c r="E41" s="21"/>
      <c r="F41" s="2">
        <v>0</v>
      </c>
      <c r="G41" s="21"/>
      <c r="H41" s="2">
        <v>0</v>
      </c>
      <c r="I41" s="21"/>
      <c r="J41" s="2">
        <v>0</v>
      </c>
      <c r="K41" s="21"/>
      <c r="L41" s="2">
        <v>140</v>
      </c>
      <c r="M41" s="21"/>
      <c r="N41" s="2">
        <v>250</v>
      </c>
      <c r="O41" s="21"/>
      <c r="P41" s="2">
        <v>0</v>
      </c>
      <c r="Q41" s="21"/>
      <c r="R41" s="21"/>
    </row>
    <row r="42" spans="1:18" x14ac:dyDescent="0.3">
      <c r="A42" s="22"/>
      <c r="B42" s="24">
        <v>45037</v>
      </c>
      <c r="C42" s="2" t="s">
        <v>10</v>
      </c>
      <c r="D42" s="2">
        <v>960</v>
      </c>
      <c r="E42" s="22">
        <f>SUM(D42:D632)-SUM(E45:E632)</f>
        <v>2720</v>
      </c>
      <c r="F42" s="2">
        <v>0</v>
      </c>
      <c r="G42" s="22">
        <f>SUM(F42:F632)-SUM(G45:G632)</f>
        <v>0</v>
      </c>
      <c r="H42" s="2">
        <v>0</v>
      </c>
      <c r="I42" s="22">
        <f>SUM(H42:H632)-SUM(I45:I632)</f>
        <v>0</v>
      </c>
      <c r="J42" s="2">
        <v>0</v>
      </c>
      <c r="K42" s="22">
        <f>SUM(J42:J632)-SUM(K45:K632)</f>
        <v>0</v>
      </c>
      <c r="L42" s="2">
        <v>232</v>
      </c>
      <c r="M42" s="22">
        <f>SUM(L42:L632)-SUM(M45:M632)</f>
        <v>664</v>
      </c>
      <c r="N42" s="2">
        <v>100</v>
      </c>
      <c r="O42" s="22">
        <f>SUM(N42:N632)-SUM(O45:O632)</f>
        <v>350</v>
      </c>
      <c r="P42" s="2">
        <v>0</v>
      </c>
      <c r="Q42" s="22">
        <f>SUM(P42:P632)-SUM(Q45:Q632)</f>
        <v>0</v>
      </c>
      <c r="R42" s="21">
        <v>6</v>
      </c>
    </row>
    <row r="43" spans="1:18" x14ac:dyDescent="0.3">
      <c r="A43" s="22"/>
      <c r="B43" s="24"/>
      <c r="C43" s="2" t="s">
        <v>11</v>
      </c>
      <c r="D43" s="2">
        <v>880</v>
      </c>
      <c r="E43" s="21"/>
      <c r="F43" s="2">
        <v>0</v>
      </c>
      <c r="G43" s="21"/>
      <c r="H43" s="2">
        <v>0</v>
      </c>
      <c r="I43" s="21"/>
      <c r="J43" s="2">
        <v>0</v>
      </c>
      <c r="K43" s="21"/>
      <c r="L43" s="2">
        <v>216</v>
      </c>
      <c r="M43" s="21"/>
      <c r="N43" s="2">
        <v>100</v>
      </c>
      <c r="O43" s="21"/>
      <c r="P43" s="2">
        <v>0</v>
      </c>
      <c r="Q43" s="21"/>
      <c r="R43" s="21"/>
    </row>
    <row r="44" spans="1:18" x14ac:dyDescent="0.3">
      <c r="A44" s="22"/>
      <c r="B44" s="24"/>
      <c r="C44" s="2" t="s">
        <v>12</v>
      </c>
      <c r="D44" s="2">
        <v>880</v>
      </c>
      <c r="E44" s="21"/>
      <c r="F44" s="2">
        <v>0</v>
      </c>
      <c r="G44" s="21"/>
      <c r="H44" s="2">
        <v>0</v>
      </c>
      <c r="I44" s="21"/>
      <c r="J44" s="2">
        <v>0</v>
      </c>
      <c r="K44" s="21"/>
      <c r="L44" s="2">
        <v>216</v>
      </c>
      <c r="M44" s="21"/>
      <c r="N44" s="2">
        <v>150</v>
      </c>
      <c r="O44" s="21"/>
      <c r="P44" s="2">
        <v>0</v>
      </c>
      <c r="Q44" s="21"/>
      <c r="R44" s="21"/>
    </row>
    <row r="45" spans="1:18" x14ac:dyDescent="0.3">
      <c r="A45" s="22"/>
      <c r="B45" s="24">
        <v>45038</v>
      </c>
      <c r="C45" s="2" t="s">
        <v>10</v>
      </c>
      <c r="D45" s="2">
        <v>960</v>
      </c>
      <c r="E45" s="22">
        <f>SUM(D45:D635)-SUM(E48:E635)</f>
        <v>2780</v>
      </c>
      <c r="F45" s="2">
        <v>0</v>
      </c>
      <c r="G45" s="22">
        <f>SUM(F45:F635)-SUM(G48:G635)</f>
        <v>0</v>
      </c>
      <c r="H45" s="2">
        <v>0</v>
      </c>
      <c r="I45" s="22">
        <f>SUM(H45:H635)-SUM(I48:I635)</f>
        <v>0</v>
      </c>
      <c r="J45" s="2">
        <v>0</v>
      </c>
      <c r="K45" s="22">
        <f>SUM(J45:J635)-SUM(K48:K635)</f>
        <v>0</v>
      </c>
      <c r="L45" s="2">
        <v>224</v>
      </c>
      <c r="M45" s="22">
        <f>SUM(L45:L635)-SUM(M48:M635)</f>
        <v>688</v>
      </c>
      <c r="N45" s="2">
        <v>100</v>
      </c>
      <c r="O45" s="22">
        <f>SUM(N45:N635)-SUM(O48:O635)</f>
        <v>800</v>
      </c>
      <c r="P45" s="2">
        <v>0</v>
      </c>
      <c r="Q45" s="22">
        <f>SUM(P45:P635)-SUM(Q48:Q635)</f>
        <v>0</v>
      </c>
      <c r="R45" s="21">
        <v>7</v>
      </c>
    </row>
    <row r="46" spans="1:18" x14ac:dyDescent="0.3">
      <c r="A46" s="22"/>
      <c r="B46" s="24"/>
      <c r="C46" s="2" t="s">
        <v>11</v>
      </c>
      <c r="D46" s="2">
        <v>960</v>
      </c>
      <c r="E46" s="21"/>
      <c r="F46" s="2">
        <v>0</v>
      </c>
      <c r="G46" s="21"/>
      <c r="H46" s="2">
        <v>0</v>
      </c>
      <c r="I46" s="21"/>
      <c r="J46" s="2">
        <v>0</v>
      </c>
      <c r="K46" s="21"/>
      <c r="L46" s="2">
        <v>232</v>
      </c>
      <c r="M46" s="21"/>
      <c r="N46" s="2">
        <v>350</v>
      </c>
      <c r="O46" s="21"/>
      <c r="P46" s="2">
        <v>0</v>
      </c>
      <c r="Q46" s="21"/>
      <c r="R46" s="21"/>
    </row>
    <row r="47" spans="1:18" x14ac:dyDescent="0.3">
      <c r="A47" s="22"/>
      <c r="B47" s="24"/>
      <c r="C47" s="2" t="s">
        <v>12</v>
      </c>
      <c r="D47" s="2">
        <v>860</v>
      </c>
      <c r="E47" s="21"/>
      <c r="F47" s="2">
        <v>0</v>
      </c>
      <c r="G47" s="21"/>
      <c r="H47" s="2">
        <v>0</v>
      </c>
      <c r="I47" s="21"/>
      <c r="J47" s="2">
        <v>0</v>
      </c>
      <c r="K47" s="21"/>
      <c r="L47" s="2">
        <v>232</v>
      </c>
      <c r="M47" s="21"/>
      <c r="N47" s="2">
        <v>350</v>
      </c>
      <c r="O47" s="21"/>
      <c r="P47" s="2">
        <v>0</v>
      </c>
      <c r="Q47" s="21"/>
      <c r="R47" s="21"/>
    </row>
    <row r="48" spans="1:18" x14ac:dyDescent="0.3">
      <c r="A48" s="22"/>
      <c r="B48" s="24">
        <v>45039</v>
      </c>
      <c r="C48" s="2" t="s">
        <v>10</v>
      </c>
      <c r="D48" s="2">
        <v>960</v>
      </c>
      <c r="E48" s="22">
        <f>SUM(D48:D638)-SUM(E51:E638)</f>
        <v>2880</v>
      </c>
      <c r="F48" s="2">
        <v>0</v>
      </c>
      <c r="G48" s="22">
        <f>SUM(F48:F638)-SUM(G51:G638)</f>
        <v>0</v>
      </c>
      <c r="H48" s="2">
        <v>0</v>
      </c>
      <c r="I48" s="22">
        <f>SUM(H48:H638)-SUM(I51:I638)</f>
        <v>0</v>
      </c>
      <c r="J48" s="2">
        <v>0</v>
      </c>
      <c r="K48" s="22">
        <f>SUM(J48:J638)-SUM(K51:K638)</f>
        <v>0</v>
      </c>
      <c r="L48" s="2">
        <v>232</v>
      </c>
      <c r="M48" s="22">
        <f>SUM(L48:L638)-SUM(M51:M638)</f>
        <v>680</v>
      </c>
      <c r="N48" s="2">
        <v>150</v>
      </c>
      <c r="O48" s="22">
        <f>SUM(N48:N638)-SUM(O51:O638)</f>
        <v>800</v>
      </c>
      <c r="P48" s="2">
        <v>0</v>
      </c>
      <c r="Q48" s="22">
        <f>SUM(P48:P638)-SUM(Q51:Q638)</f>
        <v>60</v>
      </c>
      <c r="R48" s="21">
        <v>6</v>
      </c>
    </row>
    <row r="49" spans="1:18" x14ac:dyDescent="0.3">
      <c r="A49" s="22"/>
      <c r="B49" s="24"/>
      <c r="C49" s="2" t="s">
        <v>11</v>
      </c>
      <c r="D49" s="2">
        <v>960</v>
      </c>
      <c r="E49" s="21"/>
      <c r="F49" s="2">
        <v>0</v>
      </c>
      <c r="G49" s="21"/>
      <c r="H49" s="2">
        <v>0</v>
      </c>
      <c r="I49" s="21"/>
      <c r="J49" s="2">
        <v>0</v>
      </c>
      <c r="K49" s="21"/>
      <c r="L49" s="2">
        <v>232</v>
      </c>
      <c r="M49" s="21"/>
      <c r="N49" s="2">
        <v>350</v>
      </c>
      <c r="O49" s="21"/>
      <c r="P49" s="2">
        <v>0</v>
      </c>
      <c r="Q49" s="21"/>
      <c r="R49" s="21"/>
    </row>
    <row r="50" spans="1:18" x14ac:dyDescent="0.3">
      <c r="A50" s="22"/>
      <c r="B50" s="24"/>
      <c r="C50" s="2" t="s">
        <v>12</v>
      </c>
      <c r="D50" s="2">
        <v>960</v>
      </c>
      <c r="E50" s="21"/>
      <c r="F50" s="2">
        <v>0</v>
      </c>
      <c r="G50" s="21"/>
      <c r="H50" s="2">
        <v>0</v>
      </c>
      <c r="I50" s="21"/>
      <c r="J50" s="2">
        <v>0</v>
      </c>
      <c r="K50" s="21"/>
      <c r="L50" s="2">
        <v>216</v>
      </c>
      <c r="M50" s="21"/>
      <c r="N50" s="2">
        <v>300</v>
      </c>
      <c r="O50" s="21"/>
      <c r="P50" s="2">
        <v>60</v>
      </c>
      <c r="Q50" s="21"/>
      <c r="R50" s="21"/>
    </row>
    <row r="51" spans="1:18" x14ac:dyDescent="0.3">
      <c r="A51" s="22"/>
      <c r="B51" s="24">
        <v>45040</v>
      </c>
      <c r="C51" s="2" t="s">
        <v>10</v>
      </c>
      <c r="D51" s="2">
        <v>960</v>
      </c>
      <c r="E51" s="22">
        <f>SUM(D51:D641)-SUM(E54:E641)</f>
        <v>2880</v>
      </c>
      <c r="F51" s="2">
        <v>0</v>
      </c>
      <c r="G51" s="22">
        <f>SUM(F51:F641)-SUM(G54:G641)</f>
        <v>0</v>
      </c>
      <c r="H51" s="2">
        <v>0</v>
      </c>
      <c r="I51" s="22">
        <f>SUM(H51:H641)-SUM(I54:I641)</f>
        <v>0</v>
      </c>
      <c r="J51" s="2">
        <v>0</v>
      </c>
      <c r="K51" s="22">
        <f>SUM(J51:J641)-SUM(K54:K641)</f>
        <v>0</v>
      </c>
      <c r="L51" s="2">
        <v>222</v>
      </c>
      <c r="M51" s="22">
        <f>SUM(L51:L641)-SUM(M54:M641)</f>
        <v>686</v>
      </c>
      <c r="N51" s="2">
        <v>350</v>
      </c>
      <c r="O51" s="22">
        <f>SUM(N51:N641)-SUM(O54:O641)</f>
        <v>700</v>
      </c>
      <c r="P51" s="2">
        <v>105</v>
      </c>
      <c r="Q51" s="22">
        <f>SUM(P51:P641)-SUM(Q54:Q641)</f>
        <v>105</v>
      </c>
      <c r="R51" s="21">
        <v>6</v>
      </c>
    </row>
    <row r="52" spans="1:18" x14ac:dyDescent="0.3">
      <c r="A52" s="22"/>
      <c r="B52" s="24"/>
      <c r="C52" s="2" t="s">
        <v>11</v>
      </c>
      <c r="D52" s="2">
        <v>960</v>
      </c>
      <c r="E52" s="21"/>
      <c r="F52" s="2">
        <v>0</v>
      </c>
      <c r="G52" s="21"/>
      <c r="H52" s="2">
        <v>0</v>
      </c>
      <c r="I52" s="21"/>
      <c r="J52" s="2">
        <v>0</v>
      </c>
      <c r="K52" s="21"/>
      <c r="L52" s="2">
        <v>232</v>
      </c>
      <c r="M52" s="21"/>
      <c r="N52" s="2">
        <v>350</v>
      </c>
      <c r="O52" s="21"/>
      <c r="P52" s="2">
        <v>0</v>
      </c>
      <c r="Q52" s="21"/>
      <c r="R52" s="21"/>
    </row>
    <row r="53" spans="1:18" x14ac:dyDescent="0.3">
      <c r="A53" s="22"/>
      <c r="B53" s="24"/>
      <c r="C53" s="2" t="s">
        <v>12</v>
      </c>
      <c r="D53" s="2">
        <v>960</v>
      </c>
      <c r="E53" s="21"/>
      <c r="F53" s="2">
        <v>0</v>
      </c>
      <c r="G53" s="21"/>
      <c r="H53" s="2">
        <v>0</v>
      </c>
      <c r="I53" s="21"/>
      <c r="J53" s="2">
        <v>0</v>
      </c>
      <c r="K53" s="21"/>
      <c r="L53" s="2">
        <v>232</v>
      </c>
      <c r="M53" s="21"/>
      <c r="N53" s="2">
        <v>0</v>
      </c>
      <c r="O53" s="21"/>
      <c r="P53" s="2">
        <v>0</v>
      </c>
      <c r="Q53" s="21"/>
      <c r="R53" s="21"/>
    </row>
    <row r="54" spans="1:18" x14ac:dyDescent="0.3">
      <c r="A54" s="22"/>
      <c r="B54" s="24">
        <v>45041</v>
      </c>
      <c r="C54" s="2" t="s">
        <v>10</v>
      </c>
      <c r="D54" s="2">
        <v>720</v>
      </c>
      <c r="E54" s="22">
        <f>SUM(D54:D644)-SUM(E57:E644)</f>
        <v>2160</v>
      </c>
      <c r="F54" s="2">
        <v>0</v>
      </c>
      <c r="G54" s="22">
        <f>SUM(F54:F644)-SUM(G57:G644)</f>
        <v>0</v>
      </c>
      <c r="H54" s="2">
        <v>0</v>
      </c>
      <c r="I54" s="22">
        <f>SUM(H54:H644)-SUM(I57:I644)</f>
        <v>0</v>
      </c>
      <c r="J54" s="2">
        <v>0</v>
      </c>
      <c r="K54" s="22">
        <f>SUM(J54:J644)-SUM(K57:K644)</f>
        <v>0</v>
      </c>
      <c r="L54" s="2">
        <v>235</v>
      </c>
      <c r="M54" s="22">
        <f>SUM(L54:L644)-SUM(M57:M644)</f>
        <v>699</v>
      </c>
      <c r="N54" s="2">
        <v>0</v>
      </c>
      <c r="O54" s="22">
        <f>SUM(N54:N644)-SUM(O57:O644)</f>
        <v>0</v>
      </c>
      <c r="P54" s="2">
        <v>0</v>
      </c>
      <c r="Q54" s="22">
        <f>SUM(P54:P644)-SUM(Q57:Q644)</f>
        <v>0</v>
      </c>
      <c r="R54" s="21">
        <v>5</v>
      </c>
    </row>
    <row r="55" spans="1:18" x14ac:dyDescent="0.3">
      <c r="A55" s="22"/>
      <c r="B55" s="24"/>
      <c r="C55" s="2" t="s">
        <v>11</v>
      </c>
      <c r="D55" s="2">
        <v>720</v>
      </c>
      <c r="E55" s="21"/>
      <c r="F55" s="2">
        <v>0</v>
      </c>
      <c r="G55" s="21"/>
      <c r="H55" s="2">
        <v>0</v>
      </c>
      <c r="I55" s="21"/>
      <c r="J55" s="2">
        <v>0</v>
      </c>
      <c r="K55" s="21"/>
      <c r="L55" s="2">
        <v>232</v>
      </c>
      <c r="M55" s="21"/>
      <c r="N55" s="2">
        <v>0</v>
      </c>
      <c r="O55" s="21"/>
      <c r="P55" s="2">
        <v>0</v>
      </c>
      <c r="Q55" s="21"/>
      <c r="R55" s="21"/>
    </row>
    <row r="56" spans="1:18" x14ac:dyDescent="0.3">
      <c r="A56" s="22"/>
      <c r="B56" s="24"/>
      <c r="C56" s="2" t="s">
        <v>12</v>
      </c>
      <c r="D56" s="2">
        <v>720</v>
      </c>
      <c r="E56" s="21"/>
      <c r="F56" s="2">
        <v>0</v>
      </c>
      <c r="G56" s="21"/>
      <c r="H56" s="2">
        <v>0</v>
      </c>
      <c r="I56" s="21"/>
      <c r="J56" s="2">
        <v>0</v>
      </c>
      <c r="K56" s="21"/>
      <c r="L56" s="2">
        <v>232</v>
      </c>
      <c r="M56" s="21"/>
      <c r="N56" s="2">
        <v>0</v>
      </c>
      <c r="O56" s="21"/>
      <c r="P56" s="2">
        <v>0</v>
      </c>
      <c r="Q56" s="21"/>
      <c r="R56" s="21"/>
    </row>
    <row r="57" spans="1:18" x14ac:dyDescent="0.3">
      <c r="A57" s="22"/>
      <c r="B57" s="24">
        <v>45042</v>
      </c>
      <c r="C57" s="2" t="s">
        <v>10</v>
      </c>
      <c r="D57" s="2">
        <v>720</v>
      </c>
      <c r="E57" s="22">
        <f>SUM(D57:D647)-SUM(E60:E647)</f>
        <v>2160</v>
      </c>
      <c r="F57" s="2">
        <v>0</v>
      </c>
      <c r="G57" s="22">
        <f>SUM(F57:F647)-SUM(G60:G647)</f>
        <v>0</v>
      </c>
      <c r="H57" s="2">
        <v>0</v>
      </c>
      <c r="I57" s="22">
        <f>SUM(H57:H647)-SUM(I60:I647)</f>
        <v>0</v>
      </c>
      <c r="J57" s="2">
        <v>0</v>
      </c>
      <c r="K57" s="22">
        <f>SUM(J57:J647)-SUM(K60:K647)</f>
        <v>0</v>
      </c>
      <c r="L57" s="2">
        <v>234</v>
      </c>
      <c r="M57" s="22">
        <f>SUM(L57:L647)-SUM(M60:M647)</f>
        <v>698</v>
      </c>
      <c r="N57" s="2">
        <v>350</v>
      </c>
      <c r="O57" s="22">
        <f>SUM(N57:N647)-SUM(O60:O647)</f>
        <v>950</v>
      </c>
      <c r="P57" s="2">
        <v>0</v>
      </c>
      <c r="Q57" s="22">
        <f>SUM(P57:P647)-SUM(Q60:Q647)</f>
        <v>0</v>
      </c>
      <c r="R57" s="21">
        <v>5</v>
      </c>
    </row>
    <row r="58" spans="1:18" x14ac:dyDescent="0.3">
      <c r="A58" s="22"/>
      <c r="B58" s="24"/>
      <c r="C58" s="2" t="s">
        <v>11</v>
      </c>
      <c r="D58" s="2">
        <v>720</v>
      </c>
      <c r="E58" s="21"/>
      <c r="F58" s="2">
        <v>0</v>
      </c>
      <c r="G58" s="21"/>
      <c r="H58" s="2">
        <v>0</v>
      </c>
      <c r="I58" s="21"/>
      <c r="J58" s="2">
        <v>0</v>
      </c>
      <c r="K58" s="21"/>
      <c r="L58" s="2">
        <v>232</v>
      </c>
      <c r="M58" s="21"/>
      <c r="N58" s="2">
        <v>250</v>
      </c>
      <c r="O58" s="21"/>
      <c r="P58" s="2">
        <v>0</v>
      </c>
      <c r="Q58" s="21"/>
      <c r="R58" s="21"/>
    </row>
    <row r="59" spans="1:18" x14ac:dyDescent="0.3">
      <c r="A59" s="22"/>
      <c r="B59" s="24"/>
      <c r="C59" s="2" t="s">
        <v>12</v>
      </c>
      <c r="D59" s="2">
        <v>720</v>
      </c>
      <c r="E59" s="21"/>
      <c r="F59" s="2">
        <v>0</v>
      </c>
      <c r="G59" s="21"/>
      <c r="H59" s="2">
        <v>0</v>
      </c>
      <c r="I59" s="21"/>
      <c r="J59" s="2">
        <v>0</v>
      </c>
      <c r="K59" s="21"/>
      <c r="L59" s="2">
        <v>232</v>
      </c>
      <c r="M59" s="21"/>
      <c r="N59" s="2">
        <v>350</v>
      </c>
      <c r="O59" s="21"/>
      <c r="P59" s="2">
        <v>0</v>
      </c>
      <c r="Q59" s="21"/>
      <c r="R59" s="21"/>
    </row>
    <row r="60" spans="1:18" x14ac:dyDescent="0.3">
      <c r="A60" s="22"/>
      <c r="B60" s="24">
        <v>45043</v>
      </c>
      <c r="C60" s="2" t="s">
        <v>10</v>
      </c>
      <c r="D60" s="2">
        <v>900</v>
      </c>
      <c r="E60" s="22">
        <f>SUM(D60:D650)-SUM(E63:E650)</f>
        <v>2700</v>
      </c>
      <c r="F60" s="2">
        <v>0</v>
      </c>
      <c r="G60" s="22">
        <f>SUM(F60:F650)-SUM(G63:G650)</f>
        <v>0</v>
      </c>
      <c r="H60" s="2">
        <v>0</v>
      </c>
      <c r="I60" s="22">
        <f>SUM(H60:H650)-SUM(I63:I650)</f>
        <v>0</v>
      </c>
      <c r="J60" s="2">
        <v>0</v>
      </c>
      <c r="K60" s="22">
        <f>SUM(J60:J650)-SUM(K63:K650)</f>
        <v>0</v>
      </c>
      <c r="L60" s="2">
        <v>216</v>
      </c>
      <c r="M60" s="22">
        <f>SUM(L60:L650)-SUM(M63:M650)</f>
        <v>664</v>
      </c>
      <c r="N60" s="2">
        <v>300</v>
      </c>
      <c r="O60" s="22">
        <f>SUM(N60:N650)-SUM(O63:O650)</f>
        <v>950</v>
      </c>
      <c r="P60" s="2">
        <v>0</v>
      </c>
      <c r="Q60" s="22">
        <f>SUM(P60:P650)-SUM(Q63:Q650)</f>
        <v>0</v>
      </c>
      <c r="R60" s="21">
        <v>5.6</v>
      </c>
    </row>
    <row r="61" spans="1:18" x14ac:dyDescent="0.3">
      <c r="A61" s="22"/>
      <c r="B61" s="24"/>
      <c r="C61" s="2" t="s">
        <v>11</v>
      </c>
      <c r="D61" s="2">
        <v>900</v>
      </c>
      <c r="E61" s="21"/>
      <c r="F61" s="2">
        <v>0</v>
      </c>
      <c r="G61" s="21"/>
      <c r="H61" s="2">
        <v>0</v>
      </c>
      <c r="I61" s="21"/>
      <c r="J61" s="2">
        <v>0</v>
      </c>
      <c r="K61" s="21"/>
      <c r="L61" s="2">
        <v>216</v>
      </c>
      <c r="M61" s="21"/>
      <c r="N61" s="2">
        <v>350</v>
      </c>
      <c r="O61" s="21"/>
      <c r="P61" s="2">
        <v>0</v>
      </c>
      <c r="Q61" s="21"/>
      <c r="R61" s="21"/>
    </row>
    <row r="62" spans="1:18" x14ac:dyDescent="0.3">
      <c r="A62" s="22"/>
      <c r="B62" s="24"/>
      <c r="C62" s="2" t="s">
        <v>12</v>
      </c>
      <c r="D62" s="2">
        <v>900</v>
      </c>
      <c r="E62" s="21"/>
      <c r="F62" s="2">
        <v>0</v>
      </c>
      <c r="G62" s="21"/>
      <c r="H62" s="2">
        <v>0</v>
      </c>
      <c r="I62" s="21"/>
      <c r="J62" s="2">
        <v>0</v>
      </c>
      <c r="K62" s="21"/>
      <c r="L62" s="2">
        <v>232</v>
      </c>
      <c r="M62" s="21"/>
      <c r="N62" s="2">
        <v>300</v>
      </c>
      <c r="O62" s="21"/>
      <c r="P62" s="2">
        <v>0</v>
      </c>
      <c r="Q62" s="21"/>
      <c r="R62" s="21"/>
    </row>
    <row r="63" spans="1:18" x14ac:dyDescent="0.3">
      <c r="A63" s="22"/>
      <c r="B63" s="24">
        <v>45044</v>
      </c>
      <c r="C63" s="2" t="s">
        <v>10</v>
      </c>
      <c r="D63" s="2">
        <v>1040</v>
      </c>
      <c r="E63" s="22">
        <f>SUM(D63:D653)-SUM(E66:E653)</f>
        <v>3040</v>
      </c>
      <c r="F63" s="2">
        <v>0</v>
      </c>
      <c r="G63" s="22">
        <f>SUM(F63:F653)-SUM(G66:G653)</f>
        <v>0</v>
      </c>
      <c r="H63" s="2">
        <v>0</v>
      </c>
      <c r="I63" s="22">
        <f>SUM(H63:H653)-SUM(I66:I653)</f>
        <v>0</v>
      </c>
      <c r="J63" s="2">
        <v>0</v>
      </c>
      <c r="K63" s="22">
        <f>SUM(J63:J653)-SUM(K66:K653)</f>
        <v>0</v>
      </c>
      <c r="L63" s="2">
        <v>253</v>
      </c>
      <c r="M63" s="22">
        <f>SUM(L63:L653)-SUM(M66:M653)</f>
        <v>781</v>
      </c>
      <c r="N63" s="2">
        <v>0</v>
      </c>
      <c r="O63" s="22">
        <f>SUM(N63:N653)-SUM(O66:O653)</f>
        <v>0</v>
      </c>
      <c r="P63" s="2">
        <v>0</v>
      </c>
      <c r="Q63" s="22">
        <f>SUM(P63:P653)-SUM(Q66:Q653)</f>
        <v>0</v>
      </c>
      <c r="R63" s="21">
        <v>8.6999999999999993</v>
      </c>
    </row>
    <row r="64" spans="1:18" x14ac:dyDescent="0.3">
      <c r="A64" s="22"/>
      <c r="B64" s="24"/>
      <c r="C64" s="2" t="s">
        <v>11</v>
      </c>
      <c r="D64" s="2">
        <v>1000</v>
      </c>
      <c r="E64" s="21"/>
      <c r="F64" s="2">
        <v>0</v>
      </c>
      <c r="G64" s="21"/>
      <c r="H64" s="2">
        <v>0</v>
      </c>
      <c r="I64" s="21"/>
      <c r="J64" s="2">
        <v>0</v>
      </c>
      <c r="K64" s="21"/>
      <c r="L64" s="2">
        <v>280</v>
      </c>
      <c r="M64" s="21"/>
      <c r="N64" s="2">
        <v>0</v>
      </c>
      <c r="O64" s="21"/>
      <c r="P64" s="2">
        <v>0</v>
      </c>
      <c r="Q64" s="21"/>
      <c r="R64" s="21"/>
    </row>
    <row r="65" spans="1:18" x14ac:dyDescent="0.3">
      <c r="A65" s="22"/>
      <c r="B65" s="24"/>
      <c r="C65" s="2" t="s">
        <v>12</v>
      </c>
      <c r="D65" s="2">
        <v>1000</v>
      </c>
      <c r="E65" s="21"/>
      <c r="F65" s="2">
        <v>0</v>
      </c>
      <c r="G65" s="21"/>
      <c r="H65" s="2">
        <v>0</v>
      </c>
      <c r="I65" s="21"/>
      <c r="J65" s="2">
        <v>0</v>
      </c>
      <c r="K65" s="21"/>
      <c r="L65" s="2">
        <v>248</v>
      </c>
      <c r="M65" s="21"/>
      <c r="N65" s="2">
        <v>0</v>
      </c>
      <c r="O65" s="21"/>
      <c r="P65" s="2">
        <v>0</v>
      </c>
      <c r="Q65" s="21"/>
      <c r="R65" s="21"/>
    </row>
    <row r="66" spans="1:18" x14ac:dyDescent="0.3">
      <c r="A66" s="22"/>
      <c r="B66" s="24">
        <v>45045</v>
      </c>
      <c r="C66" s="2" t="s">
        <v>10</v>
      </c>
      <c r="D66" s="2">
        <v>960</v>
      </c>
      <c r="E66" s="22">
        <f>SUM(D66:D656)-SUM(E69:E656)</f>
        <v>2820</v>
      </c>
      <c r="F66" s="2">
        <v>0</v>
      </c>
      <c r="G66" s="22">
        <f>SUM(F66:F656)-SUM(G69:G656)</f>
        <v>0</v>
      </c>
      <c r="H66" s="2">
        <v>0</v>
      </c>
      <c r="I66" s="22">
        <f>SUM(H66:H656)-SUM(I69:I656)</f>
        <v>0</v>
      </c>
      <c r="J66" s="2">
        <v>0</v>
      </c>
      <c r="K66" s="22">
        <f>SUM(J66:J656)-SUM(K69:K656)</f>
        <v>0</v>
      </c>
      <c r="L66" s="2">
        <v>256</v>
      </c>
      <c r="M66" s="22">
        <f>SUM(L66:L656)-SUM(M69:M656)</f>
        <v>732</v>
      </c>
      <c r="N66" s="2">
        <v>350</v>
      </c>
      <c r="O66" s="22">
        <f>SUM(N66:N656)-SUM(O69:O656)</f>
        <v>700</v>
      </c>
      <c r="P66" s="2">
        <v>0</v>
      </c>
      <c r="Q66" s="22">
        <f>SUM(P66:P656)-SUM(Q69:Q656)</f>
        <v>0</v>
      </c>
      <c r="R66" s="21">
        <v>6</v>
      </c>
    </row>
    <row r="67" spans="1:18" x14ac:dyDescent="0.3">
      <c r="A67" s="22"/>
      <c r="B67" s="24"/>
      <c r="C67" s="2" t="s">
        <v>11</v>
      </c>
      <c r="D67" s="2">
        <v>900</v>
      </c>
      <c r="E67" s="21"/>
      <c r="F67" s="2">
        <v>0</v>
      </c>
      <c r="G67" s="21"/>
      <c r="H67" s="2">
        <v>0</v>
      </c>
      <c r="I67" s="21"/>
      <c r="J67" s="2">
        <v>0</v>
      </c>
      <c r="K67" s="21"/>
      <c r="L67" s="2">
        <v>220</v>
      </c>
      <c r="M67" s="21"/>
      <c r="N67" s="2">
        <v>350</v>
      </c>
      <c r="O67" s="21"/>
      <c r="P67" s="2">
        <v>0</v>
      </c>
      <c r="Q67" s="21"/>
      <c r="R67" s="21"/>
    </row>
    <row r="68" spans="1:18" x14ac:dyDescent="0.3">
      <c r="A68" s="22"/>
      <c r="B68" s="24"/>
      <c r="C68" s="2" t="s">
        <v>12</v>
      </c>
      <c r="D68" s="2">
        <v>960</v>
      </c>
      <c r="E68" s="21"/>
      <c r="F68" s="2">
        <v>0</v>
      </c>
      <c r="G68" s="21"/>
      <c r="H68" s="2">
        <v>0</v>
      </c>
      <c r="I68" s="21"/>
      <c r="J68" s="2">
        <v>0</v>
      </c>
      <c r="K68" s="21"/>
      <c r="L68" s="2">
        <v>256</v>
      </c>
      <c r="M68" s="21"/>
      <c r="N68" s="2">
        <v>0</v>
      </c>
      <c r="O68" s="21"/>
      <c r="P68" s="2">
        <v>0</v>
      </c>
      <c r="Q68" s="21"/>
      <c r="R68" s="21"/>
    </row>
    <row r="69" spans="1:18" x14ac:dyDescent="0.3">
      <c r="A69" s="22"/>
      <c r="B69" s="24">
        <v>45046</v>
      </c>
      <c r="C69" s="2" t="s">
        <v>10</v>
      </c>
      <c r="D69" s="2">
        <v>960</v>
      </c>
      <c r="E69" s="22">
        <f>SUM(D69:D659)-SUM(E72:E659)</f>
        <v>2820</v>
      </c>
      <c r="F69" s="2">
        <v>0</v>
      </c>
      <c r="G69" s="22">
        <f>SUM(F69:F659)-SUM(G72:G659)</f>
        <v>0</v>
      </c>
      <c r="H69" s="2">
        <v>0</v>
      </c>
      <c r="I69" s="22">
        <f>SUM(H69:H659)-SUM(I72:I659)</f>
        <v>0</v>
      </c>
      <c r="J69" s="2">
        <v>0</v>
      </c>
      <c r="K69" s="22">
        <f>SUM(J69:J659)-SUM(K72:K659)</f>
        <v>0</v>
      </c>
      <c r="L69" s="2">
        <v>272</v>
      </c>
      <c r="M69" s="22">
        <f>SUM(L69:L659)-SUM(M72:M659)</f>
        <v>816</v>
      </c>
      <c r="N69" s="2">
        <v>250</v>
      </c>
      <c r="O69" s="22">
        <f>SUM(N69:N659)-SUM(O72:O659)</f>
        <v>850</v>
      </c>
      <c r="P69" s="2">
        <v>0</v>
      </c>
      <c r="Q69" s="22">
        <f>SUM(P69:P659)-SUM(Q72:Q659)</f>
        <v>0</v>
      </c>
      <c r="R69" s="21">
        <v>7</v>
      </c>
    </row>
    <row r="70" spans="1:18" x14ac:dyDescent="0.3">
      <c r="A70" s="22"/>
      <c r="B70" s="24"/>
      <c r="C70" s="2" t="s">
        <v>11</v>
      </c>
      <c r="D70" s="2">
        <v>960</v>
      </c>
      <c r="E70" s="21"/>
      <c r="F70" s="2">
        <v>0</v>
      </c>
      <c r="G70" s="21"/>
      <c r="H70" s="2">
        <v>0</v>
      </c>
      <c r="I70" s="21"/>
      <c r="J70" s="2">
        <v>0</v>
      </c>
      <c r="K70" s="21"/>
      <c r="L70" s="2">
        <v>272</v>
      </c>
      <c r="M70" s="21"/>
      <c r="N70" s="2">
        <v>350</v>
      </c>
      <c r="O70" s="21"/>
      <c r="P70" s="2">
        <v>0</v>
      </c>
      <c r="Q70" s="21"/>
      <c r="R70" s="21"/>
    </row>
    <row r="71" spans="1:18" x14ac:dyDescent="0.3">
      <c r="A71" s="22"/>
      <c r="B71" s="24"/>
      <c r="C71" s="2" t="s">
        <v>12</v>
      </c>
      <c r="D71" s="2">
        <v>900</v>
      </c>
      <c r="E71" s="21"/>
      <c r="F71" s="2">
        <v>0</v>
      </c>
      <c r="G71" s="21"/>
      <c r="H71" s="2">
        <v>0</v>
      </c>
      <c r="I71" s="21"/>
      <c r="J71" s="2">
        <v>0</v>
      </c>
      <c r="K71" s="21"/>
      <c r="L71" s="2">
        <v>272</v>
      </c>
      <c r="M71" s="21"/>
      <c r="N71" s="2">
        <v>250</v>
      </c>
      <c r="O71" s="21"/>
      <c r="P71" s="2">
        <v>0</v>
      </c>
      <c r="Q71" s="21"/>
      <c r="R71" s="21"/>
    </row>
    <row r="72" spans="1:18" x14ac:dyDescent="0.3">
      <c r="A72" s="21" t="s">
        <v>19</v>
      </c>
      <c r="B72" s="24">
        <v>45047</v>
      </c>
      <c r="C72" s="2" t="s">
        <v>10</v>
      </c>
      <c r="D72" s="2">
        <v>960</v>
      </c>
      <c r="E72" s="22">
        <f>SUM(D72:D662)-SUM(E75:E662)</f>
        <v>2720</v>
      </c>
      <c r="F72" s="2">
        <v>0</v>
      </c>
      <c r="G72" s="22">
        <f>SUM(F72:F662)-SUM(G75:G662)</f>
        <v>0</v>
      </c>
      <c r="H72" s="2">
        <v>0</v>
      </c>
      <c r="I72" s="22">
        <f>SUM(H72:H662)-SUM(I75:I662)</f>
        <v>0</v>
      </c>
      <c r="J72" s="2">
        <v>0</v>
      </c>
      <c r="K72" s="22">
        <f>SUM(J72:J662)-SUM(K75:K662)</f>
        <v>0</v>
      </c>
      <c r="L72" s="2">
        <v>272</v>
      </c>
      <c r="M72" s="22">
        <f>SUM(L72:L662)-SUM(M75:M662)</f>
        <v>760</v>
      </c>
      <c r="N72" s="2">
        <v>350</v>
      </c>
      <c r="O72" s="22">
        <f>SUM(N72:N662)-SUM(O75:O662)</f>
        <v>750</v>
      </c>
      <c r="P72" s="2">
        <v>0</v>
      </c>
      <c r="Q72" s="22">
        <f>SUM(P72:P662)-SUM(Q75:Q662)</f>
        <v>0</v>
      </c>
      <c r="R72" s="21">
        <v>7.2</v>
      </c>
    </row>
    <row r="73" spans="1:18" x14ac:dyDescent="0.3">
      <c r="A73" s="21"/>
      <c r="B73" s="24"/>
      <c r="C73" s="2" t="s">
        <v>11</v>
      </c>
      <c r="D73" s="2">
        <v>900</v>
      </c>
      <c r="E73" s="21"/>
      <c r="F73" s="2">
        <v>0</v>
      </c>
      <c r="G73" s="21"/>
      <c r="H73" s="2">
        <v>0</v>
      </c>
      <c r="I73" s="21"/>
      <c r="J73" s="2">
        <v>0</v>
      </c>
      <c r="K73" s="21"/>
      <c r="L73" s="2">
        <v>248</v>
      </c>
      <c r="M73" s="21"/>
      <c r="N73" s="2">
        <v>150</v>
      </c>
      <c r="O73" s="21"/>
      <c r="P73" s="2">
        <v>0</v>
      </c>
      <c r="Q73" s="21"/>
      <c r="R73" s="21"/>
    </row>
    <row r="74" spans="1:18" x14ac:dyDescent="0.3">
      <c r="A74" s="21"/>
      <c r="B74" s="24"/>
      <c r="C74" s="2" t="s">
        <v>12</v>
      </c>
      <c r="D74" s="2">
        <v>860</v>
      </c>
      <c r="E74" s="21"/>
      <c r="F74" s="2">
        <v>0</v>
      </c>
      <c r="G74" s="21"/>
      <c r="H74" s="2">
        <v>0</v>
      </c>
      <c r="I74" s="21"/>
      <c r="J74" s="2">
        <v>0</v>
      </c>
      <c r="K74" s="21"/>
      <c r="L74" s="2">
        <v>240</v>
      </c>
      <c r="M74" s="21"/>
      <c r="N74" s="2">
        <v>250</v>
      </c>
      <c r="O74" s="21"/>
      <c r="P74" s="2">
        <v>0</v>
      </c>
      <c r="Q74" s="21"/>
      <c r="R74" s="21"/>
    </row>
    <row r="75" spans="1:18" x14ac:dyDescent="0.3">
      <c r="A75" s="21"/>
      <c r="B75" s="24">
        <v>45048</v>
      </c>
      <c r="C75" s="2" t="s">
        <v>10</v>
      </c>
      <c r="D75" s="2">
        <v>860</v>
      </c>
      <c r="E75" s="22">
        <f>SUM(D75:D665)-SUM(E78:E665)</f>
        <v>2700</v>
      </c>
      <c r="F75" s="2">
        <v>0</v>
      </c>
      <c r="G75" s="22">
        <f>SUM(F75:F665)-SUM(G78:G665)</f>
        <v>0</v>
      </c>
      <c r="H75" s="2">
        <v>0</v>
      </c>
      <c r="I75" s="22">
        <f>SUM(H75:H665)-SUM(I78:I665)</f>
        <v>0</v>
      </c>
      <c r="J75" s="2">
        <v>0</v>
      </c>
      <c r="K75" s="22">
        <f>SUM(J75:J665)-SUM(K78:K665)</f>
        <v>0</v>
      </c>
      <c r="L75" s="2">
        <v>218</v>
      </c>
      <c r="M75" s="22">
        <f>SUM(L75:L665)-SUM(M78:M665)</f>
        <v>680</v>
      </c>
      <c r="N75" s="2">
        <v>0</v>
      </c>
      <c r="O75" s="22">
        <f>SUM(N75:N665)-SUM(O78:O665)</f>
        <v>150</v>
      </c>
      <c r="P75" s="2">
        <v>0</v>
      </c>
      <c r="Q75" s="22">
        <f>SUM(P75:P665)-SUM(Q78:Q665)</f>
        <v>140</v>
      </c>
      <c r="R75" s="21">
        <v>8</v>
      </c>
    </row>
    <row r="76" spans="1:18" x14ac:dyDescent="0.3">
      <c r="A76" s="21"/>
      <c r="B76" s="24"/>
      <c r="C76" s="2" t="s">
        <v>11</v>
      </c>
      <c r="D76" s="2">
        <v>960</v>
      </c>
      <c r="E76" s="21"/>
      <c r="F76" s="2">
        <v>0</v>
      </c>
      <c r="G76" s="21"/>
      <c r="H76" s="2">
        <v>0</v>
      </c>
      <c r="I76" s="21"/>
      <c r="J76" s="2">
        <v>0</v>
      </c>
      <c r="K76" s="21"/>
      <c r="L76" s="2">
        <v>206</v>
      </c>
      <c r="M76" s="21"/>
      <c r="N76" s="2">
        <v>50</v>
      </c>
      <c r="O76" s="21"/>
      <c r="P76" s="2">
        <v>140</v>
      </c>
      <c r="Q76" s="21"/>
      <c r="R76" s="21"/>
    </row>
    <row r="77" spans="1:18" x14ac:dyDescent="0.3">
      <c r="A77" s="21"/>
      <c r="B77" s="24"/>
      <c r="C77" s="2" t="s">
        <v>12</v>
      </c>
      <c r="D77" s="2">
        <v>880</v>
      </c>
      <c r="E77" s="21"/>
      <c r="F77" s="2">
        <v>0</v>
      </c>
      <c r="G77" s="21"/>
      <c r="H77" s="2">
        <v>0</v>
      </c>
      <c r="I77" s="21"/>
      <c r="J77" s="2">
        <v>0</v>
      </c>
      <c r="K77" s="21"/>
      <c r="L77" s="2">
        <v>256</v>
      </c>
      <c r="M77" s="21"/>
      <c r="N77" s="2">
        <v>100</v>
      </c>
      <c r="O77" s="21"/>
      <c r="P77" s="2">
        <v>0</v>
      </c>
      <c r="Q77" s="21"/>
      <c r="R77" s="21"/>
    </row>
    <row r="78" spans="1:18" x14ac:dyDescent="0.3">
      <c r="A78" s="21"/>
      <c r="B78" s="24">
        <v>45049</v>
      </c>
      <c r="C78" s="2" t="s">
        <v>10</v>
      </c>
      <c r="D78" s="2">
        <v>940</v>
      </c>
      <c r="E78" s="26">
        <f>SUM(D78:D668)-SUM(E81:E668)</f>
        <v>2740</v>
      </c>
      <c r="F78" s="2">
        <v>0</v>
      </c>
      <c r="G78" s="26">
        <f>SUM(F78:F668)-SUM(G81:G668)</f>
        <v>0</v>
      </c>
      <c r="H78" s="2">
        <v>0</v>
      </c>
      <c r="I78" s="26">
        <f>SUM(H78:H668)-SUM(I81:I668)</f>
        <v>0</v>
      </c>
      <c r="J78" s="2">
        <v>0</v>
      </c>
      <c r="K78" s="26">
        <f>SUM(J78:J668)-SUM(K81:K668)</f>
        <v>0</v>
      </c>
      <c r="L78" s="5">
        <v>296</v>
      </c>
      <c r="M78" s="26">
        <f>SUM(L78:L668)-SUM(M81:M668)</f>
        <v>888</v>
      </c>
      <c r="N78" s="2">
        <v>250</v>
      </c>
      <c r="O78" s="26">
        <f>SUM(N78:N668)-SUM(O81:O668)</f>
        <v>1350</v>
      </c>
      <c r="P78" s="2">
        <v>0</v>
      </c>
      <c r="Q78" s="26">
        <f>SUM(P78:P668)-SUM(Q81:Q668)</f>
        <v>0</v>
      </c>
      <c r="R78" s="21">
        <v>9</v>
      </c>
    </row>
    <row r="79" spans="1:18" x14ac:dyDescent="0.3">
      <c r="A79" s="21"/>
      <c r="B79" s="24"/>
      <c r="C79" s="2" t="s">
        <v>11</v>
      </c>
      <c r="D79" s="2">
        <v>940</v>
      </c>
      <c r="E79" s="27"/>
      <c r="F79" s="2">
        <v>0</v>
      </c>
      <c r="G79" s="27"/>
      <c r="H79" s="2">
        <v>0</v>
      </c>
      <c r="I79" s="27"/>
      <c r="J79" s="2">
        <v>0</v>
      </c>
      <c r="K79" s="27"/>
      <c r="L79" s="5">
        <v>296</v>
      </c>
      <c r="M79" s="27"/>
      <c r="N79" s="2">
        <v>750</v>
      </c>
      <c r="O79" s="27"/>
      <c r="P79" s="2">
        <v>0</v>
      </c>
      <c r="Q79" s="27"/>
      <c r="R79" s="21"/>
    </row>
    <row r="80" spans="1:18" x14ac:dyDescent="0.3">
      <c r="A80" s="21"/>
      <c r="B80" s="24"/>
      <c r="C80" s="2" t="s">
        <v>12</v>
      </c>
      <c r="D80" s="2">
        <v>860</v>
      </c>
      <c r="E80" s="27"/>
      <c r="F80" s="2">
        <v>0</v>
      </c>
      <c r="G80" s="27"/>
      <c r="H80" s="2">
        <v>0</v>
      </c>
      <c r="I80" s="27"/>
      <c r="J80" s="2">
        <v>0</v>
      </c>
      <c r="K80" s="27"/>
      <c r="L80" s="5">
        <v>296</v>
      </c>
      <c r="M80" s="27"/>
      <c r="N80" s="2">
        <v>350</v>
      </c>
      <c r="O80" s="27"/>
      <c r="P80" s="2">
        <v>0</v>
      </c>
      <c r="Q80" s="27"/>
      <c r="R80" s="21"/>
    </row>
    <row r="81" spans="1:18" x14ac:dyDescent="0.3">
      <c r="A81" s="21"/>
      <c r="B81" s="24">
        <v>45050</v>
      </c>
      <c r="C81" s="2" t="s">
        <v>10</v>
      </c>
      <c r="D81" s="2">
        <v>960</v>
      </c>
      <c r="E81" s="22">
        <f>SUM(D81:D671)-SUM(E84:E671)</f>
        <v>2610</v>
      </c>
      <c r="F81" s="2">
        <v>0</v>
      </c>
      <c r="G81" s="22">
        <f>SUM(F81:F671)-SUM(G84:G671)</f>
        <v>0</v>
      </c>
      <c r="H81" s="2">
        <v>0</v>
      </c>
      <c r="I81" s="22">
        <f>SUM(H81:H671)-SUM(I84:I671)</f>
        <v>0</v>
      </c>
      <c r="J81" s="2">
        <v>0</v>
      </c>
      <c r="K81" s="22">
        <f>SUM(J81:J671)-SUM(K84:K671)</f>
        <v>0</v>
      </c>
      <c r="L81" s="5">
        <v>352</v>
      </c>
      <c r="M81" s="22">
        <f>SUM(L81:L671)-SUM(M84:M671)</f>
        <v>992</v>
      </c>
      <c r="N81" s="2">
        <v>600</v>
      </c>
      <c r="O81" s="22">
        <f>SUM(N81:N671)-SUM(O84:O671)</f>
        <v>1650</v>
      </c>
      <c r="P81" s="2">
        <v>0</v>
      </c>
      <c r="Q81" s="22">
        <f>SUM(P81:P671)-SUM(Q84:Q671)</f>
        <v>0</v>
      </c>
      <c r="R81" s="21">
        <v>6.5</v>
      </c>
    </row>
    <row r="82" spans="1:18" x14ac:dyDescent="0.3">
      <c r="A82" s="21"/>
      <c r="B82" s="24"/>
      <c r="C82" s="2" t="s">
        <v>11</v>
      </c>
      <c r="D82" s="2">
        <v>790</v>
      </c>
      <c r="E82" s="21"/>
      <c r="F82" s="2">
        <v>0</v>
      </c>
      <c r="G82" s="21"/>
      <c r="H82" s="2">
        <v>0</v>
      </c>
      <c r="I82" s="21"/>
      <c r="J82" s="2">
        <v>0</v>
      </c>
      <c r="K82" s="21"/>
      <c r="L82" s="5">
        <v>344</v>
      </c>
      <c r="M82" s="21"/>
      <c r="N82" s="2">
        <v>600</v>
      </c>
      <c r="O82" s="21"/>
      <c r="P82" s="2">
        <v>0</v>
      </c>
      <c r="Q82" s="21"/>
      <c r="R82" s="21"/>
    </row>
    <row r="83" spans="1:18" x14ac:dyDescent="0.3">
      <c r="A83" s="21"/>
      <c r="B83" s="24"/>
      <c r="C83" s="2" t="s">
        <v>12</v>
      </c>
      <c r="D83" s="2">
        <v>860</v>
      </c>
      <c r="E83" s="21"/>
      <c r="F83" s="2">
        <v>0</v>
      </c>
      <c r="G83" s="21"/>
      <c r="H83" s="2">
        <v>0</v>
      </c>
      <c r="I83" s="21"/>
      <c r="J83" s="2">
        <v>0</v>
      </c>
      <c r="K83" s="21"/>
      <c r="L83" s="5">
        <v>296</v>
      </c>
      <c r="M83" s="21"/>
      <c r="N83" s="2">
        <v>450</v>
      </c>
      <c r="O83" s="21"/>
      <c r="P83" s="2">
        <v>0</v>
      </c>
      <c r="Q83" s="21"/>
      <c r="R83" s="21"/>
    </row>
    <row r="84" spans="1:18" x14ac:dyDescent="0.3">
      <c r="A84" s="21"/>
      <c r="B84" s="24">
        <v>45051</v>
      </c>
      <c r="C84" s="2" t="s">
        <v>10</v>
      </c>
      <c r="D84" s="2">
        <v>980</v>
      </c>
      <c r="E84" s="22">
        <f>SUM(D84:D674)-SUM(E87:E674)</f>
        <v>2600</v>
      </c>
      <c r="F84" s="2">
        <v>0</v>
      </c>
      <c r="G84" s="22">
        <f>SUM(F84:F674)-SUM(G87:G674)</f>
        <v>0</v>
      </c>
      <c r="H84" s="2">
        <v>0</v>
      </c>
      <c r="I84" s="22">
        <f>SUM(H84:H674)-SUM(I87:I674)</f>
        <v>0</v>
      </c>
      <c r="J84" s="2">
        <v>0</v>
      </c>
      <c r="K84" s="22">
        <f>SUM(J84:J674)-SUM(K87:K674)</f>
        <v>0</v>
      </c>
      <c r="L84" s="2">
        <v>304</v>
      </c>
      <c r="M84" s="22">
        <f>SUM(L84:L674)-SUM(M87:M674)</f>
        <v>1084</v>
      </c>
      <c r="N84" s="2">
        <v>450</v>
      </c>
      <c r="O84" s="22">
        <f>SUM(N84:N674)-SUM(O87:O674)</f>
        <v>1200</v>
      </c>
      <c r="P84" s="2">
        <v>0</v>
      </c>
      <c r="Q84" s="22">
        <f>SUM(P84:P674)-SUM(Q87:Q674)</f>
        <v>0</v>
      </c>
      <c r="R84" s="21">
        <v>8</v>
      </c>
    </row>
    <row r="85" spans="1:18" x14ac:dyDescent="0.3">
      <c r="A85" s="21"/>
      <c r="B85" s="24"/>
      <c r="C85" s="2" t="s">
        <v>11</v>
      </c>
      <c r="D85" s="2">
        <v>900</v>
      </c>
      <c r="E85" s="21"/>
      <c r="F85" s="2">
        <v>0</v>
      </c>
      <c r="G85" s="21"/>
      <c r="H85" s="2">
        <v>0</v>
      </c>
      <c r="I85" s="21"/>
      <c r="J85" s="2">
        <v>0</v>
      </c>
      <c r="K85" s="21"/>
      <c r="L85" s="2">
        <v>360</v>
      </c>
      <c r="M85" s="21"/>
      <c r="N85" s="2">
        <v>500</v>
      </c>
      <c r="O85" s="21"/>
      <c r="P85" s="2">
        <v>0</v>
      </c>
      <c r="Q85" s="21"/>
      <c r="R85" s="21"/>
    </row>
    <row r="86" spans="1:18" x14ac:dyDescent="0.3">
      <c r="A86" s="21"/>
      <c r="B86" s="24"/>
      <c r="C86" s="2" t="s">
        <v>12</v>
      </c>
      <c r="D86" s="2">
        <v>720</v>
      </c>
      <c r="E86" s="21"/>
      <c r="F86" s="2">
        <v>0</v>
      </c>
      <c r="G86" s="21"/>
      <c r="H86" s="2">
        <v>0</v>
      </c>
      <c r="I86" s="21"/>
      <c r="J86" s="2">
        <v>0</v>
      </c>
      <c r="K86" s="21"/>
      <c r="L86" s="2">
        <v>420</v>
      </c>
      <c r="M86" s="21"/>
      <c r="N86" s="2">
        <v>250</v>
      </c>
      <c r="O86" s="21"/>
      <c r="P86" s="2">
        <v>0</v>
      </c>
      <c r="Q86" s="21"/>
      <c r="R86" s="21"/>
    </row>
    <row r="87" spans="1:18" x14ac:dyDescent="0.3">
      <c r="A87" s="21"/>
      <c r="B87" s="24">
        <v>45052</v>
      </c>
      <c r="C87" s="2" t="s">
        <v>10</v>
      </c>
      <c r="D87" s="2">
        <v>560</v>
      </c>
      <c r="E87" s="22">
        <f>SUM(D87:D677)-SUM(E90:E677)</f>
        <v>1680</v>
      </c>
      <c r="F87" s="2">
        <v>0</v>
      </c>
      <c r="G87" s="22">
        <f>SUM(F87:F677)-SUM(G90:G677)</f>
        <v>0</v>
      </c>
      <c r="H87" s="2">
        <v>0</v>
      </c>
      <c r="I87" s="22">
        <f>SUM(H87:H677)-SUM(I90:I677)</f>
        <v>0</v>
      </c>
      <c r="J87" s="2">
        <v>0</v>
      </c>
      <c r="K87" s="22">
        <f>SUM(J87:J677)-SUM(K90:K677)</f>
        <v>0</v>
      </c>
      <c r="L87" s="2">
        <v>320</v>
      </c>
      <c r="M87" s="22">
        <f>SUM(L87:L677)-SUM(M90:M677)</f>
        <v>960</v>
      </c>
      <c r="N87" s="2">
        <v>350</v>
      </c>
      <c r="O87" s="22">
        <f>SUM(N87:N677)-SUM(O90:O677)</f>
        <v>1050</v>
      </c>
      <c r="P87" s="2">
        <v>0</v>
      </c>
      <c r="Q87" s="22">
        <f>SUM(P87:P677)-SUM(Q90:Q677)</f>
        <v>0</v>
      </c>
      <c r="R87" s="21">
        <v>7</v>
      </c>
    </row>
    <row r="88" spans="1:18" x14ac:dyDescent="0.3">
      <c r="A88" s="21"/>
      <c r="B88" s="24"/>
      <c r="C88" s="2" t="s">
        <v>11</v>
      </c>
      <c r="D88" s="2">
        <v>560</v>
      </c>
      <c r="E88" s="21"/>
      <c r="F88" s="2">
        <v>0</v>
      </c>
      <c r="G88" s="21"/>
      <c r="H88" s="2">
        <v>0</v>
      </c>
      <c r="I88" s="21"/>
      <c r="J88" s="2">
        <v>0</v>
      </c>
      <c r="K88" s="21"/>
      <c r="L88" s="2">
        <v>320</v>
      </c>
      <c r="M88" s="21"/>
      <c r="N88" s="2">
        <v>350</v>
      </c>
      <c r="O88" s="21"/>
      <c r="P88" s="2">
        <v>0</v>
      </c>
      <c r="Q88" s="21"/>
      <c r="R88" s="21"/>
    </row>
    <row r="89" spans="1:18" x14ac:dyDescent="0.3">
      <c r="A89" s="21"/>
      <c r="B89" s="24"/>
      <c r="C89" s="2" t="s">
        <v>12</v>
      </c>
      <c r="D89" s="2">
        <v>560</v>
      </c>
      <c r="E89" s="21"/>
      <c r="F89" s="2">
        <v>0</v>
      </c>
      <c r="G89" s="21"/>
      <c r="H89" s="2">
        <v>0</v>
      </c>
      <c r="I89" s="21"/>
      <c r="J89" s="2">
        <v>0</v>
      </c>
      <c r="K89" s="21"/>
      <c r="L89" s="2">
        <v>320</v>
      </c>
      <c r="M89" s="21"/>
      <c r="N89" s="2">
        <v>350</v>
      </c>
      <c r="O89" s="21"/>
      <c r="P89" s="2">
        <v>0</v>
      </c>
      <c r="Q89" s="21"/>
      <c r="R89" s="21"/>
    </row>
    <row r="90" spans="1:18" x14ac:dyDescent="0.3">
      <c r="A90" s="21"/>
      <c r="B90" s="24">
        <v>45053</v>
      </c>
      <c r="C90" s="2" t="s">
        <v>10</v>
      </c>
      <c r="D90" s="2">
        <v>560</v>
      </c>
      <c r="E90" s="22">
        <f>SUM(D90:D680)-SUM(E93:E680)</f>
        <v>1680</v>
      </c>
      <c r="F90" s="2">
        <v>0</v>
      </c>
      <c r="G90" s="22">
        <f>SUM(F90:F680)-SUM(G93:G680)</f>
        <v>0</v>
      </c>
      <c r="H90" s="2">
        <v>0</v>
      </c>
      <c r="I90" s="22">
        <f>SUM(H90:H680)-SUM(I93:I680)</f>
        <v>0</v>
      </c>
      <c r="J90" s="2">
        <v>0</v>
      </c>
      <c r="K90" s="22">
        <f>SUM(J90:J680)-SUM(K93:K680)</f>
        <v>0</v>
      </c>
      <c r="L90" s="2">
        <v>312</v>
      </c>
      <c r="M90" s="22">
        <f>SUM(L90:L680)-SUM(M93:M680)</f>
        <v>936</v>
      </c>
      <c r="N90" s="2">
        <v>350</v>
      </c>
      <c r="O90" s="22">
        <f>SUM(N90:N680)-SUM(O93:O680)</f>
        <v>1050</v>
      </c>
      <c r="P90" s="2">
        <v>0</v>
      </c>
      <c r="Q90" s="22">
        <f>SUM(P90:P680)-SUM(Q93:Q680)</f>
        <v>0</v>
      </c>
      <c r="R90" s="21">
        <v>6</v>
      </c>
    </row>
    <row r="91" spans="1:18" x14ac:dyDescent="0.3">
      <c r="A91" s="21"/>
      <c r="B91" s="24"/>
      <c r="C91" s="2" t="s">
        <v>11</v>
      </c>
      <c r="D91" s="2">
        <v>560</v>
      </c>
      <c r="E91" s="21"/>
      <c r="F91" s="2">
        <v>0</v>
      </c>
      <c r="G91" s="21"/>
      <c r="H91" s="2">
        <v>0</v>
      </c>
      <c r="I91" s="21"/>
      <c r="J91" s="2">
        <v>0</v>
      </c>
      <c r="K91" s="21"/>
      <c r="L91" s="2">
        <v>312</v>
      </c>
      <c r="M91" s="21"/>
      <c r="N91" s="2">
        <v>350</v>
      </c>
      <c r="O91" s="21"/>
      <c r="P91" s="2">
        <v>0</v>
      </c>
      <c r="Q91" s="21"/>
      <c r="R91" s="21"/>
    </row>
    <row r="92" spans="1:18" x14ac:dyDescent="0.3">
      <c r="A92" s="21"/>
      <c r="B92" s="24"/>
      <c r="C92" s="2" t="s">
        <v>12</v>
      </c>
      <c r="D92" s="2">
        <v>560</v>
      </c>
      <c r="E92" s="21"/>
      <c r="F92" s="2">
        <v>0</v>
      </c>
      <c r="G92" s="21"/>
      <c r="H92" s="2">
        <v>0</v>
      </c>
      <c r="I92" s="21"/>
      <c r="J92" s="2">
        <v>0</v>
      </c>
      <c r="K92" s="21"/>
      <c r="L92" s="2">
        <v>312</v>
      </c>
      <c r="M92" s="21"/>
      <c r="N92" s="2">
        <v>350</v>
      </c>
      <c r="O92" s="21"/>
      <c r="P92" s="2">
        <v>0</v>
      </c>
      <c r="Q92" s="21"/>
      <c r="R92" s="21"/>
    </row>
    <row r="93" spans="1:18" x14ac:dyDescent="0.3">
      <c r="A93" s="21"/>
      <c r="B93" s="24">
        <v>45054</v>
      </c>
      <c r="C93" s="2" t="s">
        <v>10</v>
      </c>
      <c r="D93" s="2">
        <v>560</v>
      </c>
      <c r="E93" s="22">
        <f>SUM(D93:D683)-SUM(E96:E683)</f>
        <v>2140</v>
      </c>
      <c r="F93" s="2">
        <v>0</v>
      </c>
      <c r="G93" s="22">
        <f>SUM(F93:F683)-SUM(G96:G683)</f>
        <v>0</v>
      </c>
      <c r="H93" s="2">
        <v>0</v>
      </c>
      <c r="I93" s="22">
        <f>SUM(H93:H683)-SUM(I96:I683)</f>
        <v>0</v>
      </c>
      <c r="J93" s="2">
        <v>0</v>
      </c>
      <c r="K93" s="22">
        <f>SUM(J93:J683)-SUM(K96:K683)</f>
        <v>0</v>
      </c>
      <c r="L93" s="2">
        <v>328</v>
      </c>
      <c r="M93" s="22">
        <f>SUM(L93:L683)-SUM(M96:M683)</f>
        <v>1008</v>
      </c>
      <c r="N93" s="2">
        <v>250</v>
      </c>
      <c r="O93" s="22">
        <f>SUM(N93:N683)-SUM(O96:O683)</f>
        <v>600</v>
      </c>
      <c r="P93" s="2">
        <v>0</v>
      </c>
      <c r="Q93" s="22">
        <f>SUM(P93:P683)-SUM(Q96:Q683)</f>
        <v>0</v>
      </c>
      <c r="R93" s="21">
        <v>6.5</v>
      </c>
    </row>
    <row r="94" spans="1:18" x14ac:dyDescent="0.3">
      <c r="A94" s="21"/>
      <c r="B94" s="24"/>
      <c r="C94" s="2" t="s">
        <v>11</v>
      </c>
      <c r="D94" s="2">
        <v>720</v>
      </c>
      <c r="E94" s="21"/>
      <c r="F94" s="2">
        <v>0</v>
      </c>
      <c r="G94" s="21"/>
      <c r="H94" s="2">
        <v>0</v>
      </c>
      <c r="I94" s="21"/>
      <c r="J94" s="2">
        <v>0</v>
      </c>
      <c r="K94" s="21"/>
      <c r="L94" s="2">
        <v>328</v>
      </c>
      <c r="M94" s="21"/>
      <c r="N94" s="2">
        <v>250</v>
      </c>
      <c r="O94" s="21"/>
      <c r="P94" s="2">
        <v>0</v>
      </c>
      <c r="Q94" s="21"/>
      <c r="R94" s="21"/>
    </row>
    <row r="95" spans="1:18" x14ac:dyDescent="0.3">
      <c r="A95" s="21"/>
      <c r="B95" s="24"/>
      <c r="C95" s="2" t="s">
        <v>12</v>
      </c>
      <c r="D95" s="2">
        <v>860</v>
      </c>
      <c r="E95" s="21"/>
      <c r="F95" s="2">
        <v>0</v>
      </c>
      <c r="G95" s="21"/>
      <c r="H95" s="2">
        <v>0</v>
      </c>
      <c r="I95" s="21"/>
      <c r="J95" s="2">
        <v>0</v>
      </c>
      <c r="K95" s="21"/>
      <c r="L95" s="2">
        <v>352</v>
      </c>
      <c r="M95" s="21"/>
      <c r="N95" s="2">
        <v>100</v>
      </c>
      <c r="O95" s="21"/>
      <c r="P95" s="2">
        <v>0</v>
      </c>
      <c r="Q95" s="21"/>
      <c r="R95" s="21"/>
    </row>
    <row r="96" spans="1:18" x14ac:dyDescent="0.3">
      <c r="A96" s="21"/>
      <c r="B96" s="24">
        <v>45055</v>
      </c>
      <c r="C96" s="2" t="s">
        <v>10</v>
      </c>
      <c r="D96" s="2">
        <v>860</v>
      </c>
      <c r="E96" s="26">
        <f>SUM(D96:D686)-SUM(E99:E686)</f>
        <v>2780</v>
      </c>
      <c r="F96" s="2">
        <v>0</v>
      </c>
      <c r="G96" s="26" t="s">
        <v>30</v>
      </c>
      <c r="H96" s="2">
        <v>0</v>
      </c>
      <c r="I96" s="26">
        <f>SUM(H96:H686)-SUM(I99:I686)</f>
        <v>0</v>
      </c>
      <c r="J96" s="2">
        <v>0</v>
      </c>
      <c r="K96" s="26">
        <f>SUM(J96:J686)-SUM(K99:K686)</f>
        <v>0</v>
      </c>
      <c r="L96" s="2">
        <v>352</v>
      </c>
      <c r="M96" s="26">
        <f>SUM(L96:L686)-SUM(M99:M686)</f>
        <v>1040</v>
      </c>
      <c r="N96" s="2">
        <v>50</v>
      </c>
      <c r="O96" s="26">
        <f>SUM(N96:N686)-SUM(O99:O686)</f>
        <v>650</v>
      </c>
      <c r="P96" s="2">
        <v>0</v>
      </c>
      <c r="Q96" s="26">
        <f>SUM(P96:P686)-SUM(Q99:Q686)</f>
        <v>0</v>
      </c>
      <c r="R96" s="21">
        <v>7.2</v>
      </c>
    </row>
    <row r="97" spans="1:18" x14ac:dyDescent="0.3">
      <c r="A97" s="21"/>
      <c r="B97" s="24"/>
      <c r="C97" s="2" t="s">
        <v>11</v>
      </c>
      <c r="D97" s="2">
        <v>960</v>
      </c>
      <c r="E97" s="27"/>
      <c r="F97" s="2">
        <v>0</v>
      </c>
      <c r="G97" s="27"/>
      <c r="H97" s="2">
        <v>0</v>
      </c>
      <c r="I97" s="27"/>
      <c r="J97" s="2">
        <v>0</v>
      </c>
      <c r="K97" s="27"/>
      <c r="L97" s="2">
        <v>344</v>
      </c>
      <c r="M97" s="27"/>
      <c r="N97" s="2">
        <v>250</v>
      </c>
      <c r="O97" s="27"/>
      <c r="P97" s="2">
        <v>0</v>
      </c>
      <c r="Q97" s="27"/>
      <c r="R97" s="21"/>
    </row>
    <row r="98" spans="1:18" x14ac:dyDescent="0.3">
      <c r="A98" s="21"/>
      <c r="B98" s="24"/>
      <c r="C98" s="2" t="s">
        <v>12</v>
      </c>
      <c r="D98" s="2">
        <v>960</v>
      </c>
      <c r="E98" s="27"/>
      <c r="F98" s="2">
        <v>0</v>
      </c>
      <c r="G98" s="27"/>
      <c r="H98" s="2">
        <v>0</v>
      </c>
      <c r="I98" s="27"/>
      <c r="J98" s="2">
        <v>0</v>
      </c>
      <c r="K98" s="27"/>
      <c r="L98" s="2">
        <v>344</v>
      </c>
      <c r="M98" s="27"/>
      <c r="N98" s="2">
        <v>350</v>
      </c>
      <c r="O98" s="27"/>
      <c r="P98" s="2">
        <v>0</v>
      </c>
      <c r="Q98" s="27"/>
      <c r="R98" s="21"/>
    </row>
    <row r="99" spans="1:18" x14ac:dyDescent="0.3">
      <c r="A99" s="21"/>
      <c r="B99" s="24">
        <v>45056</v>
      </c>
      <c r="C99" s="2" t="s">
        <v>10</v>
      </c>
      <c r="D99" s="2">
        <v>860</v>
      </c>
      <c r="E99" s="22">
        <f>SUM(D99:D689)-SUM(E102:E689)</f>
        <v>2150</v>
      </c>
      <c r="F99" s="2">
        <v>0</v>
      </c>
      <c r="G99" s="22">
        <f>SUM(F99:F689)-SUM(G102:G689)</f>
        <v>0</v>
      </c>
      <c r="H99" s="2">
        <v>0</v>
      </c>
      <c r="I99" s="22">
        <f>SUM(H99:H689)-SUM(I102:I689)</f>
        <v>0</v>
      </c>
      <c r="J99" s="2">
        <v>0</v>
      </c>
      <c r="K99" s="22">
        <f>SUM(J99:J689)-SUM(K102:K689)</f>
        <v>0</v>
      </c>
      <c r="L99" s="2">
        <v>306</v>
      </c>
      <c r="M99" s="22">
        <f>SUM(L99:L689)-SUM(M102:M689)</f>
        <v>898</v>
      </c>
      <c r="N99" s="2">
        <v>300</v>
      </c>
      <c r="O99" s="22">
        <f>SUM(N99:N689)-SUM(O102:O689)</f>
        <v>850</v>
      </c>
      <c r="P99" s="2">
        <v>0</v>
      </c>
      <c r="Q99" s="22">
        <f>SUM(P99:P689)-SUM(Q102:Q689)</f>
        <v>0</v>
      </c>
      <c r="R99" s="21">
        <v>6</v>
      </c>
    </row>
    <row r="100" spans="1:18" x14ac:dyDescent="0.3">
      <c r="A100" s="21"/>
      <c r="B100" s="24"/>
      <c r="C100" s="2" t="s">
        <v>11</v>
      </c>
      <c r="D100" s="2">
        <v>570</v>
      </c>
      <c r="E100" s="21"/>
      <c r="F100" s="2">
        <v>0</v>
      </c>
      <c r="G100" s="21"/>
      <c r="H100" s="2">
        <v>0</v>
      </c>
      <c r="I100" s="21"/>
      <c r="J100" s="2">
        <v>0</v>
      </c>
      <c r="K100" s="21"/>
      <c r="L100" s="2">
        <v>320</v>
      </c>
      <c r="M100" s="21"/>
      <c r="N100" s="2">
        <v>200</v>
      </c>
      <c r="O100" s="21"/>
      <c r="P100" s="2">
        <v>0</v>
      </c>
      <c r="Q100" s="21"/>
      <c r="R100" s="21"/>
    </row>
    <row r="101" spans="1:18" x14ac:dyDescent="0.3">
      <c r="A101" s="21"/>
      <c r="B101" s="24"/>
      <c r="C101" s="2" t="s">
        <v>12</v>
      </c>
      <c r="D101" s="2">
        <v>720</v>
      </c>
      <c r="E101" s="21"/>
      <c r="F101" s="2">
        <v>0</v>
      </c>
      <c r="G101" s="21"/>
      <c r="H101" s="2">
        <v>0</v>
      </c>
      <c r="I101" s="21"/>
      <c r="J101" s="2">
        <v>0</v>
      </c>
      <c r="K101" s="21"/>
      <c r="L101" s="2">
        <v>272</v>
      </c>
      <c r="M101" s="21"/>
      <c r="N101" s="2">
        <v>350</v>
      </c>
      <c r="O101" s="21"/>
      <c r="P101" s="2">
        <v>0</v>
      </c>
      <c r="Q101" s="21"/>
      <c r="R101" s="21"/>
    </row>
    <row r="102" spans="1:18" x14ac:dyDescent="0.3">
      <c r="A102" s="21"/>
      <c r="B102" s="24">
        <v>45057</v>
      </c>
      <c r="C102" s="2" t="s">
        <v>10</v>
      </c>
      <c r="D102" s="2">
        <v>860</v>
      </c>
      <c r="E102" s="22">
        <f>SUM(D102:D692)-SUM(E105:E692)</f>
        <v>2260</v>
      </c>
      <c r="F102" s="2">
        <v>0</v>
      </c>
      <c r="G102" s="22">
        <f>SUM(F102:F692)-SUM(G105:G692)</f>
        <v>0</v>
      </c>
      <c r="H102" s="2">
        <v>0</v>
      </c>
      <c r="I102" s="22">
        <f>SUM(H102:H692)-SUM(I105:I692)</f>
        <v>0</v>
      </c>
      <c r="J102" s="2">
        <v>0</v>
      </c>
      <c r="K102" s="22">
        <f>SUM(J102:J692)-SUM(K105:K692)</f>
        <v>0</v>
      </c>
      <c r="L102" s="2">
        <v>264</v>
      </c>
      <c r="M102" s="22">
        <f>SUM(L102:L692)-SUM(M105:M692)</f>
        <v>792</v>
      </c>
      <c r="N102" s="2">
        <v>300</v>
      </c>
      <c r="O102" s="22">
        <f>SUM(N102:N692)-SUM(O105:O692)</f>
        <v>900</v>
      </c>
      <c r="P102" s="2">
        <v>0</v>
      </c>
      <c r="Q102" s="22">
        <f>SUM(P102:P692)-SUM(Q105:Q692)</f>
        <v>0</v>
      </c>
      <c r="R102" s="21">
        <v>6</v>
      </c>
    </row>
    <row r="103" spans="1:18" x14ac:dyDescent="0.3">
      <c r="A103" s="21"/>
      <c r="B103" s="24"/>
      <c r="C103" s="2" t="s">
        <v>11</v>
      </c>
      <c r="D103" s="2">
        <v>720</v>
      </c>
      <c r="E103" s="21"/>
      <c r="F103" s="2">
        <v>0</v>
      </c>
      <c r="G103" s="21"/>
      <c r="H103" s="2">
        <v>0</v>
      </c>
      <c r="I103" s="21"/>
      <c r="J103" s="2">
        <v>0</v>
      </c>
      <c r="K103" s="21"/>
      <c r="L103" s="2">
        <v>264</v>
      </c>
      <c r="M103" s="21"/>
      <c r="N103" s="2">
        <v>300</v>
      </c>
      <c r="O103" s="21"/>
      <c r="P103" s="2">
        <v>0</v>
      </c>
      <c r="Q103" s="21"/>
      <c r="R103" s="21"/>
    </row>
    <row r="104" spans="1:18" x14ac:dyDescent="0.3">
      <c r="A104" s="21"/>
      <c r="B104" s="24"/>
      <c r="C104" s="2" t="s">
        <v>12</v>
      </c>
      <c r="D104" s="2">
        <v>680</v>
      </c>
      <c r="E104" s="21"/>
      <c r="F104" s="2">
        <v>0</v>
      </c>
      <c r="G104" s="21"/>
      <c r="H104" s="2">
        <v>0</v>
      </c>
      <c r="I104" s="21"/>
      <c r="J104" s="2">
        <v>0</v>
      </c>
      <c r="K104" s="21"/>
      <c r="L104" s="2">
        <v>264</v>
      </c>
      <c r="M104" s="21"/>
      <c r="N104" s="2">
        <v>300</v>
      </c>
      <c r="O104" s="21"/>
      <c r="P104" s="2">
        <v>0</v>
      </c>
      <c r="Q104" s="21"/>
      <c r="R104" s="21"/>
    </row>
    <row r="105" spans="1:18" x14ac:dyDescent="0.3">
      <c r="A105" s="21"/>
      <c r="B105" s="24">
        <v>45058</v>
      </c>
      <c r="C105" s="2" t="s">
        <v>10</v>
      </c>
      <c r="D105" s="2">
        <v>720</v>
      </c>
      <c r="E105" s="22">
        <f>SUM(D105:D695)-SUM(E108:E695)</f>
        <v>2040</v>
      </c>
      <c r="F105" s="2">
        <v>0</v>
      </c>
      <c r="G105" s="22">
        <f>SUM(F105:F695)-SUM(G108:G695)</f>
        <v>0</v>
      </c>
      <c r="H105" s="2">
        <v>0</v>
      </c>
      <c r="I105" s="22">
        <f>SUM(H105:H695)-SUM(I108:I695)</f>
        <v>0</v>
      </c>
      <c r="J105" s="2">
        <v>0</v>
      </c>
      <c r="K105" s="22">
        <f>SUM(J105:J695)-SUM(K108:K695)</f>
        <v>0</v>
      </c>
      <c r="L105" s="2">
        <v>264</v>
      </c>
      <c r="M105" s="22">
        <f>SUM(L105:L695)-SUM(M108:M695)</f>
        <v>767</v>
      </c>
      <c r="N105" s="2">
        <v>300</v>
      </c>
      <c r="O105" s="22">
        <f>SUM(N105:N695)-SUM(O108:O695)</f>
        <v>800</v>
      </c>
      <c r="P105" s="2">
        <v>0</v>
      </c>
      <c r="Q105" s="22">
        <f>SUM(P105:P695)-SUM(Q108:Q695)</f>
        <v>0</v>
      </c>
      <c r="R105" s="21">
        <v>7</v>
      </c>
    </row>
    <row r="106" spans="1:18" x14ac:dyDescent="0.3">
      <c r="A106" s="21"/>
      <c r="B106" s="24"/>
      <c r="C106" s="2" t="s">
        <v>11</v>
      </c>
      <c r="D106" s="2">
        <v>640</v>
      </c>
      <c r="E106" s="21"/>
      <c r="F106" s="2">
        <v>0</v>
      </c>
      <c r="G106" s="21"/>
      <c r="H106" s="2">
        <v>0</v>
      </c>
      <c r="I106" s="21"/>
      <c r="J106" s="2">
        <v>0</v>
      </c>
      <c r="K106" s="21"/>
      <c r="L106" s="2">
        <v>239</v>
      </c>
      <c r="M106" s="21"/>
      <c r="N106" s="2">
        <v>250</v>
      </c>
      <c r="O106" s="21"/>
      <c r="P106" s="2">
        <v>0</v>
      </c>
      <c r="Q106" s="21"/>
      <c r="R106" s="21"/>
    </row>
    <row r="107" spans="1:18" x14ac:dyDescent="0.3">
      <c r="A107" s="21"/>
      <c r="B107" s="24"/>
      <c r="C107" s="2" t="s">
        <v>12</v>
      </c>
      <c r="D107" s="2">
        <v>680</v>
      </c>
      <c r="E107" s="21"/>
      <c r="F107" s="2">
        <v>0</v>
      </c>
      <c r="G107" s="21"/>
      <c r="H107" s="2">
        <v>0</v>
      </c>
      <c r="I107" s="21"/>
      <c r="J107" s="2">
        <v>0</v>
      </c>
      <c r="K107" s="21"/>
      <c r="L107" s="2">
        <v>264</v>
      </c>
      <c r="M107" s="21"/>
      <c r="N107" s="2">
        <v>250</v>
      </c>
      <c r="O107" s="21"/>
      <c r="P107" s="2">
        <v>0</v>
      </c>
      <c r="Q107" s="21"/>
      <c r="R107" s="21"/>
    </row>
    <row r="108" spans="1:18" x14ac:dyDescent="0.3">
      <c r="A108" s="21"/>
      <c r="B108" s="24">
        <v>45059</v>
      </c>
      <c r="C108" s="2" t="s">
        <v>10</v>
      </c>
      <c r="D108" s="2">
        <v>680</v>
      </c>
      <c r="E108" s="22">
        <f>SUM(D108:D698)-SUM(E111:E698)</f>
        <v>2040</v>
      </c>
      <c r="F108" s="2">
        <v>0</v>
      </c>
      <c r="G108" s="22">
        <f>SUM(F108:F698)-SUM(G111:G698)</f>
        <v>0</v>
      </c>
      <c r="H108" s="2">
        <v>0</v>
      </c>
      <c r="I108" s="22">
        <f>SUM(H108:H698)-SUM(I111:I698)</f>
        <v>0</v>
      </c>
      <c r="J108" s="2">
        <v>0</v>
      </c>
      <c r="K108" s="22">
        <f>SUM(J108:J698)-SUM(K111:K698)</f>
        <v>0</v>
      </c>
      <c r="L108" s="2">
        <v>296</v>
      </c>
      <c r="M108" s="22">
        <f>SUM(L108:L698)-SUM(M111:M698)</f>
        <v>808</v>
      </c>
      <c r="N108" s="2">
        <v>300</v>
      </c>
      <c r="O108" s="22">
        <f>SUM(N108:N698)-SUM(O111:O698)</f>
        <v>950</v>
      </c>
      <c r="P108" s="2">
        <v>0</v>
      </c>
      <c r="Q108" s="22">
        <f>SUM(P108:P698)-SUM(Q111:Q698)</f>
        <v>0</v>
      </c>
      <c r="R108" s="21">
        <v>7</v>
      </c>
    </row>
    <row r="109" spans="1:18" x14ac:dyDescent="0.3">
      <c r="A109" s="21"/>
      <c r="B109" s="24"/>
      <c r="C109" s="2" t="s">
        <v>11</v>
      </c>
      <c r="D109" s="2">
        <v>680</v>
      </c>
      <c r="E109" s="21"/>
      <c r="F109" s="2">
        <v>0</v>
      </c>
      <c r="G109" s="21"/>
      <c r="H109" s="2">
        <v>0</v>
      </c>
      <c r="I109" s="21"/>
      <c r="J109" s="2">
        <v>0</v>
      </c>
      <c r="K109" s="21"/>
      <c r="L109" s="2">
        <v>256</v>
      </c>
      <c r="M109" s="21"/>
      <c r="N109" s="2">
        <v>300</v>
      </c>
      <c r="O109" s="21"/>
      <c r="P109" s="2">
        <v>0</v>
      </c>
      <c r="Q109" s="21"/>
      <c r="R109" s="21"/>
    </row>
    <row r="110" spans="1:18" x14ac:dyDescent="0.3">
      <c r="A110" s="21"/>
      <c r="B110" s="24"/>
      <c r="C110" s="2" t="s">
        <v>12</v>
      </c>
      <c r="D110" s="2">
        <v>680</v>
      </c>
      <c r="E110" s="21"/>
      <c r="F110" s="2">
        <v>0</v>
      </c>
      <c r="G110" s="21"/>
      <c r="H110" s="2">
        <v>0</v>
      </c>
      <c r="I110" s="21"/>
      <c r="J110" s="2">
        <v>0</v>
      </c>
      <c r="K110" s="21"/>
      <c r="L110" s="2">
        <v>256</v>
      </c>
      <c r="M110" s="21"/>
      <c r="N110" s="2">
        <v>350</v>
      </c>
      <c r="O110" s="21"/>
      <c r="P110" s="2">
        <v>0</v>
      </c>
      <c r="Q110" s="21"/>
      <c r="R110" s="21"/>
    </row>
    <row r="111" spans="1:18" x14ac:dyDescent="0.3">
      <c r="A111" s="21"/>
      <c r="B111" s="24">
        <v>45060</v>
      </c>
      <c r="C111" s="2" t="s">
        <v>10</v>
      </c>
      <c r="D111" s="2">
        <v>680</v>
      </c>
      <c r="E111" s="22">
        <f>SUM(D111:D701)-SUM(E114:E701)</f>
        <v>2040</v>
      </c>
      <c r="F111" s="2">
        <v>0</v>
      </c>
      <c r="G111" s="22">
        <f>SUM(F111:F701)-SUM(G114:G701)</f>
        <v>0</v>
      </c>
      <c r="H111" s="2">
        <v>0</v>
      </c>
      <c r="I111" s="22">
        <f>SUM(H111:H701)-SUM(I114:I701)</f>
        <v>0</v>
      </c>
      <c r="J111" s="2">
        <v>0</v>
      </c>
      <c r="K111" s="22">
        <f>SUM(J111:J701)-SUM(K114:K701)</f>
        <v>0</v>
      </c>
      <c r="L111" s="2">
        <v>256</v>
      </c>
      <c r="M111" s="22">
        <f>SUM(L111:L701)-SUM(M114:M701)</f>
        <v>768</v>
      </c>
      <c r="N111" s="2">
        <v>100</v>
      </c>
      <c r="O111" s="22">
        <f>SUM(N111:N701)-SUM(O114:O701)</f>
        <v>300</v>
      </c>
      <c r="P111" s="2">
        <v>0</v>
      </c>
      <c r="Q111" s="22">
        <f>SUM(P111:P701)-SUM(Q114:Q701)</f>
        <v>0</v>
      </c>
      <c r="R111" s="21">
        <v>6.5</v>
      </c>
    </row>
    <row r="112" spans="1:18" x14ac:dyDescent="0.3">
      <c r="A112" s="21"/>
      <c r="B112" s="24"/>
      <c r="C112" s="2" t="s">
        <v>11</v>
      </c>
      <c r="D112" s="2">
        <v>680</v>
      </c>
      <c r="E112" s="21"/>
      <c r="F112" s="2">
        <v>0</v>
      </c>
      <c r="G112" s="21"/>
      <c r="H112" s="2">
        <v>0</v>
      </c>
      <c r="I112" s="21"/>
      <c r="J112" s="2">
        <v>0</v>
      </c>
      <c r="K112" s="21"/>
      <c r="L112" s="2">
        <v>256</v>
      </c>
      <c r="M112" s="21"/>
      <c r="N112" s="2">
        <v>100</v>
      </c>
      <c r="O112" s="21"/>
      <c r="P112" s="2">
        <v>0</v>
      </c>
      <c r="Q112" s="21"/>
      <c r="R112" s="21"/>
    </row>
    <row r="113" spans="1:18" x14ac:dyDescent="0.3">
      <c r="A113" s="21"/>
      <c r="B113" s="24"/>
      <c r="C113" s="2" t="s">
        <v>12</v>
      </c>
      <c r="D113" s="2">
        <v>680</v>
      </c>
      <c r="E113" s="21"/>
      <c r="F113" s="2">
        <v>0</v>
      </c>
      <c r="G113" s="21"/>
      <c r="H113" s="2">
        <v>0</v>
      </c>
      <c r="I113" s="21"/>
      <c r="J113" s="2">
        <v>0</v>
      </c>
      <c r="K113" s="21"/>
      <c r="L113" s="2">
        <v>256</v>
      </c>
      <c r="M113" s="21"/>
      <c r="N113" s="2">
        <v>100</v>
      </c>
      <c r="O113" s="21"/>
      <c r="P113" s="2">
        <v>0</v>
      </c>
      <c r="Q113" s="21"/>
      <c r="R113" s="21"/>
    </row>
    <row r="114" spans="1:18" x14ac:dyDescent="0.3">
      <c r="A114" s="21"/>
      <c r="B114" s="24">
        <v>45061</v>
      </c>
      <c r="C114" s="2" t="s">
        <v>10</v>
      </c>
      <c r="D114" s="2">
        <v>780</v>
      </c>
      <c r="E114" s="22">
        <f>SUM(D114:D704)-SUM(E117:E704)</f>
        <v>2340</v>
      </c>
      <c r="F114" s="2">
        <v>0</v>
      </c>
      <c r="G114" s="22">
        <f>SUM(F114:F704)-SUM(G117:G704)</f>
        <v>0</v>
      </c>
      <c r="H114" s="2">
        <v>0</v>
      </c>
      <c r="I114" s="22">
        <f>SUM(H114:H704)-SUM(I117:I704)</f>
        <v>0</v>
      </c>
      <c r="J114" s="2">
        <v>0</v>
      </c>
      <c r="K114" s="22">
        <f>SUM(J114:J704)-SUM(K117:K704)</f>
        <v>0</v>
      </c>
      <c r="L114" s="2">
        <v>200</v>
      </c>
      <c r="M114" s="22">
        <f>SUM(L114:L704)-SUM(M117:M704)</f>
        <v>784</v>
      </c>
      <c r="N114" s="2">
        <v>100</v>
      </c>
      <c r="O114" s="22">
        <f>SUM(N114:N704)-SUM(O117:O704)</f>
        <v>200</v>
      </c>
      <c r="P114" s="2">
        <v>0</v>
      </c>
      <c r="Q114" s="22">
        <f>SUM(P114:P704)-SUM(Q117:Q704)</f>
        <v>0</v>
      </c>
      <c r="R114" s="21">
        <v>7</v>
      </c>
    </row>
    <row r="115" spans="1:18" x14ac:dyDescent="0.3">
      <c r="A115" s="21"/>
      <c r="B115" s="24"/>
      <c r="C115" s="2" t="s">
        <v>11</v>
      </c>
      <c r="D115" s="2">
        <v>780</v>
      </c>
      <c r="E115" s="21"/>
      <c r="F115" s="2">
        <v>0</v>
      </c>
      <c r="G115" s="21"/>
      <c r="H115" s="2">
        <v>0</v>
      </c>
      <c r="I115" s="21"/>
      <c r="J115" s="2">
        <v>0</v>
      </c>
      <c r="K115" s="21"/>
      <c r="L115" s="2">
        <v>296</v>
      </c>
      <c r="M115" s="21"/>
      <c r="N115" s="2">
        <v>100</v>
      </c>
      <c r="O115" s="21"/>
      <c r="P115" s="2">
        <v>0</v>
      </c>
      <c r="Q115" s="21"/>
      <c r="R115" s="21"/>
    </row>
    <row r="116" spans="1:18" x14ac:dyDescent="0.3">
      <c r="A116" s="21"/>
      <c r="B116" s="24"/>
      <c r="C116" s="2" t="s">
        <v>12</v>
      </c>
      <c r="D116" s="2">
        <v>780</v>
      </c>
      <c r="E116" s="21"/>
      <c r="F116" s="2">
        <v>0</v>
      </c>
      <c r="G116" s="21"/>
      <c r="H116" s="2">
        <v>0</v>
      </c>
      <c r="I116" s="21"/>
      <c r="J116" s="2">
        <v>0</v>
      </c>
      <c r="K116" s="21"/>
      <c r="L116" s="2">
        <v>288</v>
      </c>
      <c r="M116" s="21"/>
      <c r="N116" s="2">
        <v>0</v>
      </c>
      <c r="O116" s="21"/>
      <c r="P116" s="2">
        <v>0</v>
      </c>
      <c r="Q116" s="21"/>
      <c r="R116" s="21"/>
    </row>
    <row r="117" spans="1:18" x14ac:dyDescent="0.3">
      <c r="A117" s="21"/>
      <c r="B117" s="24">
        <v>45062</v>
      </c>
      <c r="C117" s="2" t="s">
        <v>10</v>
      </c>
      <c r="D117" s="2">
        <v>780</v>
      </c>
      <c r="E117" s="22">
        <f>SUM(D117:D707)-SUM(E120:E707)</f>
        <v>2340</v>
      </c>
      <c r="F117" s="2">
        <v>0</v>
      </c>
      <c r="G117" s="22">
        <f>SUM(F117:F707)-SUM(G120:G707)</f>
        <v>0</v>
      </c>
      <c r="H117" s="2">
        <v>0</v>
      </c>
      <c r="I117" s="22">
        <f>SUM(H117:H707)-SUM(I120:I707)</f>
        <v>0</v>
      </c>
      <c r="J117" s="2">
        <v>0</v>
      </c>
      <c r="K117" s="22">
        <f>SUM(J117:J707)-SUM(K120:K707)</f>
        <v>0</v>
      </c>
      <c r="L117" s="2">
        <v>294</v>
      </c>
      <c r="M117" s="22">
        <f>SUM(L117:L707)-SUM(M120:M707)</f>
        <v>943</v>
      </c>
      <c r="N117" s="2">
        <v>200</v>
      </c>
      <c r="O117" s="22">
        <f>SUM(N117:N707)-SUM(O120:O707)</f>
        <v>400</v>
      </c>
      <c r="P117" s="2">
        <v>0</v>
      </c>
      <c r="Q117" s="22">
        <f>SUM(P117:P707)-SUM(Q120:Q707)</f>
        <v>0</v>
      </c>
      <c r="R117" s="21">
        <v>6</v>
      </c>
    </row>
    <row r="118" spans="1:18" x14ac:dyDescent="0.3">
      <c r="A118" s="21"/>
      <c r="B118" s="24"/>
      <c r="C118" s="2" t="s">
        <v>11</v>
      </c>
      <c r="D118" s="2">
        <v>780</v>
      </c>
      <c r="E118" s="21"/>
      <c r="F118" s="2">
        <v>0</v>
      </c>
      <c r="G118" s="21"/>
      <c r="H118" s="2">
        <v>0</v>
      </c>
      <c r="I118" s="21"/>
      <c r="J118" s="2">
        <v>0</v>
      </c>
      <c r="K118" s="21"/>
      <c r="L118" s="2">
        <v>321</v>
      </c>
      <c r="M118" s="21"/>
      <c r="N118" s="2">
        <v>100</v>
      </c>
      <c r="O118" s="21"/>
      <c r="P118" s="2">
        <v>0</v>
      </c>
      <c r="Q118" s="21"/>
      <c r="R118" s="21"/>
    </row>
    <row r="119" spans="1:18" x14ac:dyDescent="0.3">
      <c r="A119" s="21"/>
      <c r="B119" s="24"/>
      <c r="C119" s="2" t="s">
        <v>12</v>
      </c>
      <c r="D119" s="2">
        <v>780</v>
      </c>
      <c r="E119" s="21"/>
      <c r="F119" s="2">
        <v>0</v>
      </c>
      <c r="G119" s="21"/>
      <c r="H119" s="2">
        <v>0</v>
      </c>
      <c r="I119" s="21"/>
      <c r="J119" s="2">
        <v>0</v>
      </c>
      <c r="K119" s="21"/>
      <c r="L119" s="2">
        <v>328</v>
      </c>
      <c r="M119" s="21"/>
      <c r="N119" s="2">
        <v>100</v>
      </c>
      <c r="O119" s="21"/>
      <c r="P119" s="2">
        <v>0</v>
      </c>
      <c r="Q119" s="21"/>
      <c r="R119" s="21"/>
    </row>
    <row r="120" spans="1:18" x14ac:dyDescent="0.3">
      <c r="A120" s="21"/>
      <c r="B120" s="24">
        <v>45063</v>
      </c>
      <c r="C120" s="2" t="s">
        <v>10</v>
      </c>
      <c r="D120" s="2">
        <v>780</v>
      </c>
      <c r="E120" s="22">
        <f>SUM(D120:D710)-SUM(E123:E710)</f>
        <v>2180</v>
      </c>
      <c r="F120" s="2">
        <v>0</v>
      </c>
      <c r="G120" s="22">
        <f>SUM(F120:F710)-SUM(G123:G710)</f>
        <v>0</v>
      </c>
      <c r="H120" s="2">
        <v>0</v>
      </c>
      <c r="I120" s="22">
        <f>SUM(H120:H710)-SUM(I123:I710)</f>
        <v>0</v>
      </c>
      <c r="J120" s="2">
        <v>0</v>
      </c>
      <c r="K120" s="22">
        <f>SUM(J120:J710)-SUM(K123:K710)</f>
        <v>0</v>
      </c>
      <c r="L120" s="2">
        <v>304</v>
      </c>
      <c r="M120" s="22">
        <f>SUM(L120:L710)-SUM(M123:M710)</f>
        <v>896</v>
      </c>
      <c r="N120" s="2">
        <v>250</v>
      </c>
      <c r="O120" s="22">
        <f>SUM(N120:N710)-SUM(O123:O710)</f>
        <v>250</v>
      </c>
      <c r="P120" s="2">
        <v>0</v>
      </c>
      <c r="Q120" s="22">
        <f>SUM(P120:P710)-SUM(Q123:Q710)</f>
        <v>0</v>
      </c>
      <c r="R120" s="21">
        <v>6.5</v>
      </c>
    </row>
    <row r="121" spans="1:18" x14ac:dyDescent="0.3">
      <c r="A121" s="21"/>
      <c r="B121" s="24"/>
      <c r="C121" s="2" t="s">
        <v>11</v>
      </c>
      <c r="D121" s="2">
        <v>720</v>
      </c>
      <c r="E121" s="21"/>
      <c r="F121" s="2">
        <v>0</v>
      </c>
      <c r="G121" s="21"/>
      <c r="H121" s="2">
        <v>0</v>
      </c>
      <c r="I121" s="21"/>
      <c r="J121" s="2">
        <v>0</v>
      </c>
      <c r="K121" s="21"/>
      <c r="L121" s="2">
        <v>296</v>
      </c>
      <c r="M121" s="21"/>
      <c r="N121" s="2">
        <v>0</v>
      </c>
      <c r="O121" s="21"/>
      <c r="P121" s="2">
        <v>0</v>
      </c>
      <c r="Q121" s="21"/>
      <c r="R121" s="21"/>
    </row>
    <row r="122" spans="1:18" x14ac:dyDescent="0.3">
      <c r="A122" s="21"/>
      <c r="B122" s="24"/>
      <c r="C122" s="2" t="s">
        <v>12</v>
      </c>
      <c r="D122" s="2">
        <v>680</v>
      </c>
      <c r="E122" s="21"/>
      <c r="F122" s="2">
        <v>0</v>
      </c>
      <c r="G122" s="21"/>
      <c r="H122" s="2">
        <v>0</v>
      </c>
      <c r="I122" s="21"/>
      <c r="J122" s="2">
        <v>0</v>
      </c>
      <c r="K122" s="21"/>
      <c r="L122" s="2">
        <v>296</v>
      </c>
      <c r="M122" s="21"/>
      <c r="N122" s="2">
        <v>0</v>
      </c>
      <c r="O122" s="21"/>
      <c r="P122" s="2">
        <v>0</v>
      </c>
      <c r="Q122" s="21"/>
      <c r="R122" s="21"/>
    </row>
    <row r="123" spans="1:18" x14ac:dyDescent="0.3">
      <c r="A123" s="21"/>
      <c r="B123" s="24">
        <v>45064</v>
      </c>
      <c r="C123" s="2" t="s">
        <v>10</v>
      </c>
      <c r="D123" s="2">
        <v>780</v>
      </c>
      <c r="E123" s="22">
        <f>SUM(D123:D713)-SUM(E126:E713)</f>
        <v>2340</v>
      </c>
      <c r="F123" s="2">
        <v>0</v>
      </c>
      <c r="G123" s="22">
        <f>SUM(F123:F713)-SUM(G126:G713)</f>
        <v>0</v>
      </c>
      <c r="H123" s="2">
        <v>0</v>
      </c>
      <c r="I123" s="22">
        <f>SUM(H123:H713)-SUM(I126:I713)</f>
        <v>0</v>
      </c>
      <c r="J123" s="2">
        <v>0</v>
      </c>
      <c r="K123" s="22">
        <f>SUM(J123:J713)-SUM(K126:K713)</f>
        <v>0</v>
      </c>
      <c r="L123" s="2">
        <v>296</v>
      </c>
      <c r="M123" s="22">
        <f>SUM(L123:L713)-SUM(M126:M713)</f>
        <v>888</v>
      </c>
      <c r="N123" s="2">
        <v>250</v>
      </c>
      <c r="O123" s="22">
        <f>SUM(N123:N713)-SUM(O126:O713)</f>
        <v>450</v>
      </c>
      <c r="P123" s="2">
        <v>0</v>
      </c>
      <c r="Q123" s="22">
        <f>SUM(P123:P713)-SUM(Q126:Q713)</f>
        <v>0</v>
      </c>
      <c r="R123" s="21">
        <v>7.5</v>
      </c>
    </row>
    <row r="124" spans="1:18" x14ac:dyDescent="0.3">
      <c r="A124" s="21"/>
      <c r="B124" s="24"/>
      <c r="C124" s="2" t="s">
        <v>11</v>
      </c>
      <c r="D124" s="2">
        <v>780</v>
      </c>
      <c r="E124" s="21"/>
      <c r="F124" s="2">
        <v>0</v>
      </c>
      <c r="G124" s="21"/>
      <c r="H124" s="2">
        <v>0</v>
      </c>
      <c r="I124" s="21"/>
      <c r="J124" s="2">
        <v>0</v>
      </c>
      <c r="K124" s="21"/>
      <c r="L124" s="2">
        <v>296</v>
      </c>
      <c r="M124" s="21"/>
      <c r="N124" s="2">
        <v>100</v>
      </c>
      <c r="O124" s="21"/>
      <c r="P124" s="2">
        <v>0</v>
      </c>
      <c r="Q124" s="21"/>
      <c r="R124" s="21"/>
    </row>
    <row r="125" spans="1:18" x14ac:dyDescent="0.3">
      <c r="A125" s="21"/>
      <c r="B125" s="24"/>
      <c r="C125" s="2" t="s">
        <v>12</v>
      </c>
      <c r="D125" s="2">
        <v>780</v>
      </c>
      <c r="E125" s="21"/>
      <c r="F125" s="2">
        <v>0</v>
      </c>
      <c r="G125" s="21"/>
      <c r="H125" s="2">
        <v>0</v>
      </c>
      <c r="I125" s="21"/>
      <c r="J125" s="2">
        <v>0</v>
      </c>
      <c r="K125" s="21"/>
      <c r="L125" s="2">
        <v>296</v>
      </c>
      <c r="M125" s="21"/>
      <c r="N125" s="2">
        <v>100</v>
      </c>
      <c r="O125" s="21"/>
      <c r="P125" s="2">
        <v>0</v>
      </c>
      <c r="Q125" s="21"/>
      <c r="R125" s="21"/>
    </row>
    <row r="126" spans="1:18" x14ac:dyDescent="0.3">
      <c r="A126" s="21"/>
      <c r="B126" s="24">
        <v>45065</v>
      </c>
      <c r="C126" s="2" t="s">
        <v>10</v>
      </c>
      <c r="D126" s="2">
        <v>780</v>
      </c>
      <c r="E126" s="22">
        <f>SUM(D126:D716)-SUM(E129:E716)</f>
        <v>2340</v>
      </c>
      <c r="F126" s="2">
        <v>0</v>
      </c>
      <c r="G126" s="22">
        <f>SUM(F126:F716)-SUM(G129:G716)</f>
        <v>0</v>
      </c>
      <c r="H126" s="2">
        <v>0</v>
      </c>
      <c r="I126" s="22">
        <f>SUM(H126:H716)-SUM(I129:I716)</f>
        <v>0</v>
      </c>
      <c r="J126" s="2">
        <v>0</v>
      </c>
      <c r="K126" s="22">
        <f>SUM(J126:J716)-SUM(K129:K716)</f>
        <v>0</v>
      </c>
      <c r="L126" s="2">
        <v>196</v>
      </c>
      <c r="M126" s="22">
        <f>SUM(L126:L716)-SUM(M129:M716)</f>
        <v>588</v>
      </c>
      <c r="N126" s="2">
        <v>150</v>
      </c>
      <c r="O126" s="22">
        <f>SUM(N126:N716)-SUM(O129:O716)</f>
        <v>450</v>
      </c>
      <c r="P126" s="2">
        <v>0</v>
      </c>
      <c r="Q126" s="22">
        <f>SUM(P126:P716)-SUM(Q129:Q716)</f>
        <v>0</v>
      </c>
      <c r="R126" s="21">
        <v>6</v>
      </c>
    </row>
    <row r="127" spans="1:18" x14ac:dyDescent="0.3">
      <c r="A127" s="21"/>
      <c r="B127" s="24"/>
      <c r="C127" s="2" t="s">
        <v>11</v>
      </c>
      <c r="D127" s="2">
        <v>780</v>
      </c>
      <c r="E127" s="21"/>
      <c r="F127" s="2">
        <v>0</v>
      </c>
      <c r="G127" s="21"/>
      <c r="H127" s="2">
        <v>0</v>
      </c>
      <c r="I127" s="21"/>
      <c r="J127" s="2">
        <v>0</v>
      </c>
      <c r="K127" s="21"/>
      <c r="L127" s="2">
        <v>196</v>
      </c>
      <c r="M127" s="21"/>
      <c r="N127" s="2">
        <v>150</v>
      </c>
      <c r="O127" s="21"/>
      <c r="P127" s="2">
        <v>0</v>
      </c>
      <c r="Q127" s="21"/>
      <c r="R127" s="21"/>
    </row>
    <row r="128" spans="1:18" x14ac:dyDescent="0.3">
      <c r="A128" s="21"/>
      <c r="B128" s="24"/>
      <c r="C128" s="2" t="s">
        <v>12</v>
      </c>
      <c r="D128" s="2">
        <v>780</v>
      </c>
      <c r="E128" s="21"/>
      <c r="F128" s="2">
        <v>0</v>
      </c>
      <c r="G128" s="21"/>
      <c r="H128" s="2">
        <v>0</v>
      </c>
      <c r="I128" s="21"/>
      <c r="J128" s="2">
        <v>0</v>
      </c>
      <c r="K128" s="21"/>
      <c r="L128" s="2">
        <v>196</v>
      </c>
      <c r="M128" s="21"/>
      <c r="N128" s="2">
        <v>150</v>
      </c>
      <c r="O128" s="21"/>
      <c r="P128" s="2">
        <v>0</v>
      </c>
      <c r="Q128" s="21"/>
      <c r="R128" s="21"/>
    </row>
    <row r="129" spans="1:18" x14ac:dyDescent="0.3">
      <c r="A129" s="21"/>
      <c r="B129" s="24">
        <v>45066</v>
      </c>
      <c r="C129" s="2" t="s">
        <v>10</v>
      </c>
      <c r="D129" s="2">
        <v>620</v>
      </c>
      <c r="E129" s="22">
        <f>SUM(D129:D719)-SUM(E132:E719)</f>
        <v>2020</v>
      </c>
      <c r="F129" s="2">
        <v>0</v>
      </c>
      <c r="G129" s="22">
        <f>SUM(F129:F719)-SUM(G132:G719)</f>
        <v>0</v>
      </c>
      <c r="H129" s="2">
        <v>0</v>
      </c>
      <c r="I129" s="22">
        <f>SUM(H129:H719)-SUM(I132:I719)</f>
        <v>0</v>
      </c>
      <c r="J129" s="2">
        <v>0</v>
      </c>
      <c r="K129" s="22">
        <f>SUM(J129:J719)-SUM(K132:K719)</f>
        <v>0</v>
      </c>
      <c r="L129" s="2">
        <v>288</v>
      </c>
      <c r="M129" s="22">
        <f>SUM(L129:L719)-SUM(M132:M719)</f>
        <v>792</v>
      </c>
      <c r="N129" s="2">
        <v>0</v>
      </c>
      <c r="O129" s="22">
        <f>SUM(N129:N719)-SUM(O132:O719)</f>
        <v>0</v>
      </c>
      <c r="P129" s="2">
        <v>0</v>
      </c>
      <c r="Q129" s="22">
        <f>SUM(P129:P719)-SUM(Q132:Q719)</f>
        <v>0</v>
      </c>
      <c r="R129" s="21">
        <v>5.5</v>
      </c>
    </row>
    <row r="130" spans="1:18" x14ac:dyDescent="0.3">
      <c r="A130" s="21"/>
      <c r="B130" s="24"/>
      <c r="C130" s="2" t="s">
        <v>11</v>
      </c>
      <c r="D130" s="2">
        <v>620</v>
      </c>
      <c r="E130" s="21"/>
      <c r="F130" s="2">
        <v>0</v>
      </c>
      <c r="G130" s="21"/>
      <c r="H130" s="2">
        <v>0</v>
      </c>
      <c r="I130" s="21"/>
      <c r="J130" s="2">
        <v>0</v>
      </c>
      <c r="K130" s="21"/>
      <c r="L130" s="2">
        <v>288</v>
      </c>
      <c r="M130" s="21"/>
      <c r="N130" s="2">
        <v>0</v>
      </c>
      <c r="O130" s="21"/>
      <c r="P130" s="2">
        <v>0</v>
      </c>
      <c r="Q130" s="21"/>
      <c r="R130" s="21"/>
    </row>
    <row r="131" spans="1:18" x14ac:dyDescent="0.3">
      <c r="A131" s="21"/>
      <c r="B131" s="24"/>
      <c r="C131" s="2" t="s">
        <v>12</v>
      </c>
      <c r="D131" s="2">
        <v>780</v>
      </c>
      <c r="E131" s="21"/>
      <c r="F131" s="2">
        <v>0</v>
      </c>
      <c r="G131" s="21"/>
      <c r="H131" s="2">
        <v>0</v>
      </c>
      <c r="I131" s="21"/>
      <c r="J131" s="2">
        <v>0</v>
      </c>
      <c r="K131" s="21"/>
      <c r="L131" s="2">
        <v>216</v>
      </c>
      <c r="M131" s="21"/>
      <c r="N131" s="2">
        <v>0</v>
      </c>
      <c r="O131" s="21"/>
      <c r="P131" s="2">
        <v>0</v>
      </c>
      <c r="Q131" s="21"/>
      <c r="R131" s="21"/>
    </row>
    <row r="132" spans="1:18" x14ac:dyDescent="0.3">
      <c r="A132" s="21"/>
      <c r="B132" s="24">
        <v>45067</v>
      </c>
      <c r="C132" s="2" t="s">
        <v>10</v>
      </c>
      <c r="D132" s="2">
        <v>780</v>
      </c>
      <c r="E132" s="22">
        <f>SUM(D132:D722)-SUM(E135:E722)</f>
        <v>2340</v>
      </c>
      <c r="F132" s="2">
        <v>0</v>
      </c>
      <c r="G132" s="22">
        <f>SUM(F132:F722)-SUM(G135:G722)</f>
        <v>0</v>
      </c>
      <c r="H132" s="2">
        <v>0</v>
      </c>
      <c r="I132" s="22">
        <f>SUM(H132:H722)-SUM(I135:I722)</f>
        <v>0</v>
      </c>
      <c r="J132" s="2">
        <v>0</v>
      </c>
      <c r="K132" s="22">
        <f>SUM(J132:J722)-SUM(K135:K722)</f>
        <v>0</v>
      </c>
      <c r="L132" s="2">
        <v>256</v>
      </c>
      <c r="M132" s="22">
        <f>SUM(L132:L722)-SUM(M135:M722)</f>
        <v>768</v>
      </c>
      <c r="N132" s="2">
        <v>0</v>
      </c>
      <c r="O132" s="22">
        <f>SUM(N132:N722)-SUM(O135:O722)</f>
        <v>0</v>
      </c>
      <c r="P132" s="2">
        <v>0</v>
      </c>
      <c r="Q132" s="22">
        <f>SUM(P132:P722)-SUM(Q135:Q722)</f>
        <v>0</v>
      </c>
      <c r="R132" s="21">
        <v>6</v>
      </c>
    </row>
    <row r="133" spans="1:18" x14ac:dyDescent="0.3">
      <c r="A133" s="21"/>
      <c r="B133" s="24"/>
      <c r="C133" s="2" t="s">
        <v>11</v>
      </c>
      <c r="D133" s="2">
        <v>780</v>
      </c>
      <c r="E133" s="21"/>
      <c r="F133" s="2">
        <v>0</v>
      </c>
      <c r="G133" s="21"/>
      <c r="H133" s="2">
        <v>0</v>
      </c>
      <c r="I133" s="21"/>
      <c r="J133" s="2">
        <v>0</v>
      </c>
      <c r="K133" s="21"/>
      <c r="L133" s="2">
        <v>256</v>
      </c>
      <c r="M133" s="21"/>
      <c r="N133" s="2">
        <v>0</v>
      </c>
      <c r="O133" s="21"/>
      <c r="P133" s="2">
        <v>0</v>
      </c>
      <c r="Q133" s="21"/>
      <c r="R133" s="21"/>
    </row>
    <row r="134" spans="1:18" x14ac:dyDescent="0.3">
      <c r="A134" s="21"/>
      <c r="B134" s="24"/>
      <c r="C134" s="2" t="s">
        <v>12</v>
      </c>
      <c r="D134" s="2">
        <v>780</v>
      </c>
      <c r="E134" s="21"/>
      <c r="F134" s="2">
        <v>0</v>
      </c>
      <c r="G134" s="21"/>
      <c r="H134" s="2">
        <v>0</v>
      </c>
      <c r="I134" s="21"/>
      <c r="J134" s="2">
        <v>0</v>
      </c>
      <c r="K134" s="21"/>
      <c r="L134" s="2">
        <v>256</v>
      </c>
      <c r="M134" s="21"/>
      <c r="N134" s="2">
        <v>0</v>
      </c>
      <c r="O134" s="21"/>
      <c r="P134" s="2">
        <v>0</v>
      </c>
      <c r="Q134" s="21"/>
      <c r="R134" s="21"/>
    </row>
    <row r="135" spans="1:18" x14ac:dyDescent="0.3">
      <c r="A135" s="21"/>
      <c r="B135" s="24">
        <v>45068</v>
      </c>
      <c r="C135" s="2" t="s">
        <v>10</v>
      </c>
      <c r="D135" s="2">
        <v>720</v>
      </c>
      <c r="E135" s="22">
        <f>SUM(D135:D725)-SUM(E138:E725)</f>
        <v>2420</v>
      </c>
      <c r="F135" s="2">
        <v>0</v>
      </c>
      <c r="G135" s="22">
        <f>SUM(F135:F725)-SUM(G138:G725)</f>
        <v>0</v>
      </c>
      <c r="H135" s="2">
        <v>0</v>
      </c>
      <c r="I135" s="22">
        <f>SUM(H135:H725)-SUM(I138:I725)</f>
        <v>0</v>
      </c>
      <c r="J135" s="2">
        <v>0</v>
      </c>
      <c r="K135" s="22">
        <f>SUM(J135:J725)-SUM(K138:K725)</f>
        <v>0</v>
      </c>
      <c r="L135" s="2">
        <v>272</v>
      </c>
      <c r="M135" s="22">
        <f>SUM(L135:L725)-SUM(M138:M725)</f>
        <v>752</v>
      </c>
      <c r="N135" s="2">
        <v>0</v>
      </c>
      <c r="O135" s="22">
        <f>SUM(N135:N725)-SUM(O138:O725)</f>
        <v>0</v>
      </c>
      <c r="P135" s="2">
        <v>0</v>
      </c>
      <c r="Q135" s="22">
        <f>SUM(P135:P725)-SUM(Q138:Q725)</f>
        <v>0</v>
      </c>
      <c r="R135" s="21">
        <v>6.5</v>
      </c>
    </row>
    <row r="136" spans="1:18" x14ac:dyDescent="0.3">
      <c r="A136" s="21"/>
      <c r="B136" s="24"/>
      <c r="C136" s="2" t="s">
        <v>11</v>
      </c>
      <c r="D136" s="2">
        <v>960</v>
      </c>
      <c r="E136" s="21"/>
      <c r="F136" s="2">
        <v>0</v>
      </c>
      <c r="G136" s="21"/>
      <c r="H136" s="2">
        <v>0</v>
      </c>
      <c r="I136" s="21"/>
      <c r="J136" s="2">
        <v>0</v>
      </c>
      <c r="K136" s="21"/>
      <c r="L136" s="2">
        <v>240</v>
      </c>
      <c r="M136" s="21"/>
      <c r="N136" s="2">
        <v>0</v>
      </c>
      <c r="O136" s="21"/>
      <c r="P136" s="2">
        <v>0</v>
      </c>
      <c r="Q136" s="21"/>
      <c r="R136" s="21"/>
    </row>
    <row r="137" spans="1:18" x14ac:dyDescent="0.3">
      <c r="A137" s="21"/>
      <c r="B137" s="24"/>
      <c r="C137" s="2" t="s">
        <v>12</v>
      </c>
      <c r="D137" s="2">
        <v>740</v>
      </c>
      <c r="E137" s="21"/>
      <c r="F137" s="2">
        <v>0</v>
      </c>
      <c r="G137" s="21"/>
      <c r="H137" s="2">
        <v>0</v>
      </c>
      <c r="I137" s="21"/>
      <c r="J137" s="2">
        <v>0</v>
      </c>
      <c r="K137" s="21"/>
      <c r="L137" s="2">
        <v>240</v>
      </c>
      <c r="M137" s="21"/>
      <c r="N137" s="2">
        <v>0</v>
      </c>
      <c r="O137" s="21"/>
      <c r="P137" s="2">
        <v>0</v>
      </c>
      <c r="Q137" s="21"/>
      <c r="R137" s="21"/>
    </row>
    <row r="138" spans="1:18" x14ac:dyDescent="0.3">
      <c r="A138" s="21"/>
      <c r="B138" s="24">
        <v>45069</v>
      </c>
      <c r="C138" s="2" t="s">
        <v>10</v>
      </c>
      <c r="D138" s="2">
        <v>780</v>
      </c>
      <c r="E138" s="22">
        <f>SUM(D138:D728)-SUM(E141:E728)</f>
        <v>2340</v>
      </c>
      <c r="F138" s="2">
        <v>0</v>
      </c>
      <c r="G138" s="22">
        <f>SUM(F138:F728)-SUM(G141:G728)</f>
        <v>0</v>
      </c>
      <c r="H138" s="2">
        <v>0</v>
      </c>
      <c r="I138" s="22">
        <f>SUM(H138:H728)-SUM(I141:I728)</f>
        <v>0</v>
      </c>
      <c r="J138" s="2">
        <v>0</v>
      </c>
      <c r="K138" s="22">
        <f>SUM(J138:J728)-SUM(K141:K728)</f>
        <v>0</v>
      </c>
      <c r="L138" s="2">
        <v>224</v>
      </c>
      <c r="M138" s="22">
        <f>SUM(L138:L728)-SUM(M141:M728)</f>
        <v>706</v>
      </c>
      <c r="N138" s="2">
        <v>0</v>
      </c>
      <c r="O138" s="22">
        <f>SUM(N138:N728)-SUM(O141:O728)</f>
        <v>0</v>
      </c>
      <c r="P138" s="2">
        <v>140</v>
      </c>
      <c r="Q138" s="22">
        <f>SUM(P138:P728)-SUM(Q141:Q728)</f>
        <v>140</v>
      </c>
      <c r="R138" s="21">
        <v>6</v>
      </c>
    </row>
    <row r="139" spans="1:18" x14ac:dyDescent="0.3">
      <c r="A139" s="21"/>
      <c r="B139" s="24"/>
      <c r="C139" s="2" t="s">
        <v>11</v>
      </c>
      <c r="D139" s="2">
        <v>780</v>
      </c>
      <c r="E139" s="21"/>
      <c r="F139" s="2">
        <v>0</v>
      </c>
      <c r="G139" s="21"/>
      <c r="H139" s="2">
        <v>0</v>
      </c>
      <c r="I139" s="21"/>
      <c r="J139" s="2">
        <v>0</v>
      </c>
      <c r="K139" s="21"/>
      <c r="L139" s="2">
        <v>242</v>
      </c>
      <c r="M139" s="21"/>
      <c r="N139" s="2">
        <v>0</v>
      </c>
      <c r="O139" s="21"/>
      <c r="P139" s="2">
        <v>0</v>
      </c>
      <c r="Q139" s="21"/>
      <c r="R139" s="21"/>
    </row>
    <row r="140" spans="1:18" x14ac:dyDescent="0.3">
      <c r="A140" s="21"/>
      <c r="B140" s="24"/>
      <c r="C140" s="2" t="s">
        <v>12</v>
      </c>
      <c r="D140" s="2">
        <v>780</v>
      </c>
      <c r="E140" s="21"/>
      <c r="F140" s="2">
        <v>0</v>
      </c>
      <c r="G140" s="21"/>
      <c r="H140" s="2">
        <v>0</v>
      </c>
      <c r="I140" s="21"/>
      <c r="J140" s="2">
        <v>0</v>
      </c>
      <c r="K140" s="21"/>
      <c r="L140" s="2">
        <v>240</v>
      </c>
      <c r="M140" s="21"/>
      <c r="N140" s="2">
        <v>0</v>
      </c>
      <c r="O140" s="21"/>
      <c r="P140" s="2">
        <v>0</v>
      </c>
      <c r="Q140" s="21"/>
      <c r="R140" s="21"/>
    </row>
    <row r="141" spans="1:18" x14ac:dyDescent="0.3">
      <c r="A141" s="21"/>
      <c r="B141" s="24">
        <v>45070</v>
      </c>
      <c r="C141" s="2" t="s">
        <v>10</v>
      </c>
      <c r="D141" s="2">
        <v>1060</v>
      </c>
      <c r="E141" s="22">
        <f>SUM(D141:D731)-SUM(E144:E731)</f>
        <v>3160</v>
      </c>
      <c r="F141" s="2">
        <v>0</v>
      </c>
      <c r="G141" s="22">
        <f>SUM(F141:F731)-SUM(G144:G731)</f>
        <v>0</v>
      </c>
      <c r="H141" s="2">
        <v>0</v>
      </c>
      <c r="I141" s="22">
        <f>SUM(H141:H731)-SUM(I144:I731)</f>
        <v>0</v>
      </c>
      <c r="J141" s="2">
        <v>0</v>
      </c>
      <c r="K141" s="22">
        <f>SUM(J141:J731)-SUM(K144:K731)</f>
        <v>0</v>
      </c>
      <c r="L141" s="2">
        <v>248</v>
      </c>
      <c r="M141" s="22">
        <f>SUM(L141:L731)-SUM(M144:M731)</f>
        <v>744</v>
      </c>
      <c r="N141" s="2">
        <v>0</v>
      </c>
      <c r="O141" s="22">
        <f>SUM(N141:N731)-SUM(O144:O731)</f>
        <v>0</v>
      </c>
      <c r="P141" s="2">
        <v>0</v>
      </c>
      <c r="Q141" s="22">
        <f>SUM(P141:P731)-SUM(Q144:Q731)</f>
        <v>0</v>
      </c>
      <c r="R141" s="21">
        <v>6.5</v>
      </c>
    </row>
    <row r="142" spans="1:18" x14ac:dyDescent="0.3">
      <c r="A142" s="21"/>
      <c r="B142" s="24"/>
      <c r="C142" s="2" t="s">
        <v>11</v>
      </c>
      <c r="D142" s="2">
        <v>1060</v>
      </c>
      <c r="E142" s="21"/>
      <c r="F142" s="2">
        <v>0</v>
      </c>
      <c r="G142" s="21"/>
      <c r="H142" s="2">
        <v>0</v>
      </c>
      <c r="I142" s="21"/>
      <c r="J142" s="2">
        <v>0</v>
      </c>
      <c r="K142" s="21"/>
      <c r="L142" s="2">
        <v>248</v>
      </c>
      <c r="M142" s="21"/>
      <c r="N142" s="2">
        <v>0</v>
      </c>
      <c r="O142" s="21"/>
      <c r="P142" s="2">
        <v>0</v>
      </c>
      <c r="Q142" s="21"/>
      <c r="R142" s="21"/>
    </row>
    <row r="143" spans="1:18" x14ac:dyDescent="0.3">
      <c r="A143" s="21"/>
      <c r="B143" s="24"/>
      <c r="C143" s="2" t="s">
        <v>12</v>
      </c>
      <c r="D143" s="2">
        <v>1040</v>
      </c>
      <c r="E143" s="21"/>
      <c r="F143" s="2">
        <v>0</v>
      </c>
      <c r="G143" s="21"/>
      <c r="H143" s="2">
        <v>0</v>
      </c>
      <c r="I143" s="21"/>
      <c r="J143" s="2">
        <v>0</v>
      </c>
      <c r="K143" s="21"/>
      <c r="L143" s="2">
        <v>248</v>
      </c>
      <c r="M143" s="21"/>
      <c r="N143" s="2">
        <v>0</v>
      </c>
      <c r="O143" s="21"/>
      <c r="P143" s="2">
        <v>0</v>
      </c>
      <c r="Q143" s="21"/>
      <c r="R143" s="21"/>
    </row>
    <row r="144" spans="1:18" x14ac:dyDescent="0.3">
      <c r="A144" s="21"/>
      <c r="B144" s="24">
        <v>45071</v>
      </c>
      <c r="C144" s="2" t="s">
        <v>10</v>
      </c>
      <c r="D144" s="2">
        <v>960</v>
      </c>
      <c r="E144" s="22">
        <f>SUM(D144:D734)-SUM(E147:E734)</f>
        <v>2000</v>
      </c>
      <c r="F144" s="2">
        <v>0</v>
      </c>
      <c r="G144" s="22">
        <f>SUM(F144:F734)-SUM(G147:G734)</f>
        <v>0</v>
      </c>
      <c r="H144" s="2">
        <v>0</v>
      </c>
      <c r="I144" s="22">
        <f>SUM(H144:H734)-SUM(I147:I734)</f>
        <v>0</v>
      </c>
      <c r="J144" s="2">
        <v>0</v>
      </c>
      <c r="K144" s="22">
        <f>SUM(J144:J734)-SUM(K147:K734)</f>
        <v>0</v>
      </c>
      <c r="L144" s="2">
        <v>248</v>
      </c>
      <c r="M144" s="22">
        <f>SUM(L144:L734)-SUM(M147:M734)</f>
        <v>744</v>
      </c>
      <c r="N144" s="2">
        <v>0</v>
      </c>
      <c r="O144" s="22">
        <f>SUM(N144:N734)-SUM(O147:O734)</f>
        <v>200</v>
      </c>
      <c r="P144" s="2">
        <v>0</v>
      </c>
      <c r="Q144" s="22">
        <f>SUM(P144:P734)-SUM(Q147:Q734)</f>
        <v>0</v>
      </c>
      <c r="R144" s="21">
        <v>6.5</v>
      </c>
    </row>
    <row r="145" spans="1:18" x14ac:dyDescent="0.3">
      <c r="A145" s="21"/>
      <c r="B145" s="24"/>
      <c r="C145" s="2" t="s">
        <v>11</v>
      </c>
      <c r="D145" s="2">
        <v>520</v>
      </c>
      <c r="E145" s="21"/>
      <c r="F145" s="2">
        <v>0</v>
      </c>
      <c r="G145" s="21"/>
      <c r="H145" s="2">
        <v>0</v>
      </c>
      <c r="I145" s="21"/>
      <c r="J145" s="2">
        <v>0</v>
      </c>
      <c r="K145" s="21"/>
      <c r="L145" s="2">
        <v>248</v>
      </c>
      <c r="M145" s="21"/>
      <c r="N145" s="2">
        <v>0</v>
      </c>
      <c r="O145" s="21"/>
      <c r="P145" s="2">
        <v>0</v>
      </c>
      <c r="Q145" s="21"/>
      <c r="R145" s="21"/>
    </row>
    <row r="146" spans="1:18" x14ac:dyDescent="0.3">
      <c r="A146" s="21"/>
      <c r="B146" s="24"/>
      <c r="C146" s="2" t="s">
        <v>12</v>
      </c>
      <c r="D146" s="2">
        <v>520</v>
      </c>
      <c r="E146" s="21"/>
      <c r="F146" s="2">
        <v>0</v>
      </c>
      <c r="G146" s="21"/>
      <c r="H146" s="2">
        <v>0</v>
      </c>
      <c r="I146" s="21"/>
      <c r="J146" s="2">
        <v>0</v>
      </c>
      <c r="K146" s="21"/>
      <c r="L146" s="2">
        <v>248</v>
      </c>
      <c r="M146" s="21"/>
      <c r="N146" s="2">
        <v>200</v>
      </c>
      <c r="O146" s="21"/>
      <c r="P146" s="2">
        <v>0</v>
      </c>
      <c r="Q146" s="21"/>
      <c r="R146" s="21"/>
    </row>
    <row r="147" spans="1:18" x14ac:dyDescent="0.3">
      <c r="A147" s="21"/>
      <c r="B147" s="24">
        <v>45072</v>
      </c>
      <c r="C147" s="2" t="s">
        <v>10</v>
      </c>
      <c r="D147" s="2">
        <v>760</v>
      </c>
      <c r="E147" s="22">
        <f>SUM(D147:D737)-SUM(E150:E737)</f>
        <v>2040</v>
      </c>
      <c r="F147" s="2">
        <v>0</v>
      </c>
      <c r="G147" s="22">
        <f>SUM(F147:F737)-SUM(G150:G737)</f>
        <v>0</v>
      </c>
      <c r="H147" s="2">
        <v>0</v>
      </c>
      <c r="I147" s="22">
        <f>SUM(H147:H737)-SUM(I150:I737)</f>
        <v>0</v>
      </c>
      <c r="J147" s="2">
        <v>0</v>
      </c>
      <c r="K147" s="22">
        <f>SUM(J147:J737)-SUM(K150:K737)</f>
        <v>0</v>
      </c>
      <c r="L147" s="2">
        <v>280</v>
      </c>
      <c r="M147" s="22">
        <f>SUM(L147:L737)-SUM(M150:M737)</f>
        <v>824</v>
      </c>
      <c r="N147" s="2">
        <v>300</v>
      </c>
      <c r="O147" s="22">
        <f>SUM(N147:N737)-SUM(O150:O737)</f>
        <v>750</v>
      </c>
      <c r="P147" s="2">
        <v>0</v>
      </c>
      <c r="Q147" s="22">
        <f>SUM(P147:P737)-SUM(Q150:Q737)</f>
        <v>0</v>
      </c>
      <c r="R147" s="21">
        <v>6</v>
      </c>
    </row>
    <row r="148" spans="1:18" x14ac:dyDescent="0.3">
      <c r="A148" s="21"/>
      <c r="B148" s="24"/>
      <c r="C148" s="2" t="s">
        <v>11</v>
      </c>
      <c r="D148" s="2">
        <v>760</v>
      </c>
      <c r="E148" s="21"/>
      <c r="F148" s="2">
        <v>0</v>
      </c>
      <c r="G148" s="21"/>
      <c r="H148" s="2">
        <v>0</v>
      </c>
      <c r="I148" s="21"/>
      <c r="J148" s="2">
        <v>0</v>
      </c>
      <c r="K148" s="21"/>
      <c r="L148" s="2">
        <v>280</v>
      </c>
      <c r="M148" s="21"/>
      <c r="N148" s="2">
        <v>100</v>
      </c>
      <c r="O148" s="21"/>
      <c r="P148" s="2">
        <v>0</v>
      </c>
      <c r="Q148" s="21"/>
      <c r="R148" s="21"/>
    </row>
    <row r="149" spans="1:18" x14ac:dyDescent="0.3">
      <c r="A149" s="21"/>
      <c r="B149" s="24"/>
      <c r="C149" s="2" t="s">
        <v>12</v>
      </c>
      <c r="D149" s="2">
        <v>520</v>
      </c>
      <c r="E149" s="21"/>
      <c r="F149" s="2">
        <v>0</v>
      </c>
      <c r="G149" s="21"/>
      <c r="H149" s="2">
        <v>0</v>
      </c>
      <c r="I149" s="21"/>
      <c r="J149" s="2">
        <v>0</v>
      </c>
      <c r="K149" s="21"/>
      <c r="L149" s="2">
        <v>264</v>
      </c>
      <c r="M149" s="21"/>
      <c r="N149" s="2">
        <v>350</v>
      </c>
      <c r="O149" s="21"/>
      <c r="P149" s="2">
        <v>0</v>
      </c>
      <c r="Q149" s="21"/>
      <c r="R149" s="21"/>
    </row>
    <row r="150" spans="1:18" x14ac:dyDescent="0.3">
      <c r="A150" s="21"/>
      <c r="B150" s="24">
        <v>45073</v>
      </c>
      <c r="C150" s="2" t="s">
        <v>10</v>
      </c>
      <c r="D150" s="2">
        <v>920</v>
      </c>
      <c r="E150" s="22">
        <f>SUM(D150:D740)-SUM(E153:E740)</f>
        <v>1920</v>
      </c>
      <c r="F150" s="2">
        <v>0</v>
      </c>
      <c r="G150" s="22">
        <f>SUM(F150:F740)-SUM(G153:G740)</f>
        <v>0</v>
      </c>
      <c r="H150" s="2">
        <v>0</v>
      </c>
      <c r="I150" s="22">
        <f>SUM(H150:H740)-SUM(I153:I740)</f>
        <v>0</v>
      </c>
      <c r="J150" s="2">
        <v>0</v>
      </c>
      <c r="K150" s="22">
        <f>SUM(J150:J740)-SUM(K153:K740)</f>
        <v>0</v>
      </c>
      <c r="L150" s="2">
        <v>288</v>
      </c>
      <c r="M150" s="22">
        <f>SUM(L150:L740)-SUM(M153:M740)</f>
        <v>856</v>
      </c>
      <c r="N150" s="2">
        <v>0</v>
      </c>
      <c r="O150" s="22">
        <f>SUM(N150:N740)-SUM(O153:O740)</f>
        <v>300</v>
      </c>
      <c r="P150" s="2">
        <v>0</v>
      </c>
      <c r="Q150" s="22">
        <f>SUM(P150:P740)-SUM(Q153:Q740)</f>
        <v>210</v>
      </c>
      <c r="R150" s="21">
        <v>6.2</v>
      </c>
    </row>
    <row r="151" spans="1:18" x14ac:dyDescent="0.3">
      <c r="A151" s="21"/>
      <c r="B151" s="24"/>
      <c r="C151" s="2" t="s">
        <v>11</v>
      </c>
      <c r="D151" s="2">
        <v>420</v>
      </c>
      <c r="E151" s="21"/>
      <c r="F151" s="2">
        <v>0</v>
      </c>
      <c r="G151" s="21"/>
      <c r="H151" s="2">
        <v>0</v>
      </c>
      <c r="I151" s="21"/>
      <c r="J151" s="2">
        <v>0</v>
      </c>
      <c r="K151" s="21"/>
      <c r="L151" s="2">
        <v>240</v>
      </c>
      <c r="M151" s="21"/>
      <c r="N151" s="2">
        <v>0</v>
      </c>
      <c r="O151" s="21"/>
      <c r="P151" s="2">
        <v>105</v>
      </c>
      <c r="Q151" s="21"/>
      <c r="R151" s="21"/>
    </row>
    <row r="152" spans="1:18" x14ac:dyDescent="0.3">
      <c r="A152" s="21"/>
      <c r="B152" s="24"/>
      <c r="C152" s="2" t="s">
        <v>12</v>
      </c>
      <c r="D152" s="2">
        <v>580</v>
      </c>
      <c r="E152" s="21"/>
      <c r="F152" s="2">
        <v>0</v>
      </c>
      <c r="G152" s="21"/>
      <c r="H152" s="2">
        <v>0</v>
      </c>
      <c r="I152" s="21"/>
      <c r="J152" s="2">
        <v>0</v>
      </c>
      <c r="K152" s="21"/>
      <c r="L152" s="2">
        <v>328</v>
      </c>
      <c r="M152" s="21"/>
      <c r="N152" s="2">
        <v>300</v>
      </c>
      <c r="O152" s="21"/>
      <c r="P152" s="2">
        <v>105</v>
      </c>
      <c r="Q152" s="21"/>
      <c r="R152" s="21"/>
    </row>
    <row r="153" spans="1:18" x14ac:dyDescent="0.3">
      <c r="A153" s="21"/>
      <c r="B153" s="24">
        <v>45074</v>
      </c>
      <c r="C153" s="2" t="s">
        <v>10</v>
      </c>
      <c r="D153" s="2">
        <v>560</v>
      </c>
      <c r="E153" s="22">
        <f>SUM(D153:D743)-SUM(E156:E743)</f>
        <v>1360</v>
      </c>
      <c r="F153" s="2">
        <v>0</v>
      </c>
      <c r="G153" s="22">
        <f>SUM(F153:F743)-SUM(G156:G743)</f>
        <v>0</v>
      </c>
      <c r="H153" s="2">
        <v>0</v>
      </c>
      <c r="I153" s="22">
        <f>SUM(H153:H743)-SUM(I156:I743)</f>
        <v>0</v>
      </c>
      <c r="J153" s="2">
        <v>0</v>
      </c>
      <c r="K153" s="22">
        <f>SUM(J153:J743)-SUM(K156:K743)</f>
        <v>0</v>
      </c>
      <c r="L153" s="2">
        <v>178</v>
      </c>
      <c r="M153" s="22">
        <f>SUM(L153:L743)-SUM(M156:M743)</f>
        <v>930</v>
      </c>
      <c r="N153" s="2">
        <v>100</v>
      </c>
      <c r="O153" s="22">
        <f>SUM(N153:N743)-SUM(O156:O743)</f>
        <v>500</v>
      </c>
      <c r="P153" s="2">
        <v>0</v>
      </c>
      <c r="Q153" s="22">
        <f>SUM(P153:P743)-SUM(Q156:Q743)</f>
        <v>420</v>
      </c>
      <c r="R153" s="21">
        <v>6.5</v>
      </c>
    </row>
    <row r="154" spans="1:18" x14ac:dyDescent="0.3">
      <c r="A154" s="21"/>
      <c r="B154" s="24"/>
      <c r="C154" s="2" t="s">
        <v>11</v>
      </c>
      <c r="D154" s="2">
        <v>400</v>
      </c>
      <c r="E154" s="21"/>
      <c r="F154" s="2">
        <v>0</v>
      </c>
      <c r="G154" s="21"/>
      <c r="H154" s="2">
        <v>0</v>
      </c>
      <c r="I154" s="21"/>
      <c r="J154" s="2">
        <v>0</v>
      </c>
      <c r="K154" s="21"/>
      <c r="L154" s="2">
        <v>360</v>
      </c>
      <c r="M154" s="21"/>
      <c r="N154" s="2">
        <v>0</v>
      </c>
      <c r="O154" s="21"/>
      <c r="P154" s="2">
        <v>240</v>
      </c>
      <c r="Q154" s="21"/>
      <c r="R154" s="21"/>
    </row>
    <row r="155" spans="1:18" x14ac:dyDescent="0.3">
      <c r="A155" s="21"/>
      <c r="B155" s="24"/>
      <c r="C155" s="2" t="s">
        <v>12</v>
      </c>
      <c r="D155" s="2">
        <v>400</v>
      </c>
      <c r="E155" s="21"/>
      <c r="F155" s="2">
        <v>0</v>
      </c>
      <c r="G155" s="21"/>
      <c r="H155" s="2">
        <v>0</v>
      </c>
      <c r="I155" s="21"/>
      <c r="J155" s="2">
        <v>0</v>
      </c>
      <c r="K155" s="21"/>
      <c r="L155" s="2">
        <v>392</v>
      </c>
      <c r="M155" s="21"/>
      <c r="N155" s="2">
        <v>400</v>
      </c>
      <c r="O155" s="21"/>
      <c r="P155" s="2">
        <v>180</v>
      </c>
      <c r="Q155" s="21"/>
      <c r="R155" s="21"/>
    </row>
    <row r="156" spans="1:18" x14ac:dyDescent="0.3">
      <c r="A156" s="21"/>
      <c r="B156" s="24">
        <v>45075</v>
      </c>
      <c r="C156" s="2" t="s">
        <v>10</v>
      </c>
      <c r="D156" s="2">
        <v>280</v>
      </c>
      <c r="E156" s="22">
        <f>SUM(D156:D746)-SUM(E159:E746)</f>
        <v>1080</v>
      </c>
      <c r="F156" s="2">
        <v>0</v>
      </c>
      <c r="G156" s="22">
        <f>SUM(F156:F746)-SUM(G159:G746)</f>
        <v>0</v>
      </c>
      <c r="H156" s="2">
        <v>0</v>
      </c>
      <c r="I156" s="22">
        <f>SUM(H156:H746)-SUM(I159:I746)</f>
        <v>0</v>
      </c>
      <c r="J156" s="2">
        <v>0</v>
      </c>
      <c r="K156" s="22">
        <f>SUM(J156:J746)-SUM(K159:K746)</f>
        <v>0</v>
      </c>
      <c r="L156" s="2">
        <v>364</v>
      </c>
      <c r="M156" s="22">
        <f>SUM(L156:L746)-SUM(M159:M746)</f>
        <v>1188</v>
      </c>
      <c r="N156" s="2">
        <v>1000</v>
      </c>
      <c r="O156" s="22">
        <f>SUM(N156:N746)-SUM(O159:O746)</f>
        <v>2250</v>
      </c>
      <c r="P156" s="2">
        <v>280</v>
      </c>
      <c r="Q156" s="22">
        <f>SUM(P156:P746)-SUM(Q159:Q746)</f>
        <v>560</v>
      </c>
      <c r="R156" s="21">
        <v>6</v>
      </c>
    </row>
    <row r="157" spans="1:18" x14ac:dyDescent="0.3">
      <c r="A157" s="21"/>
      <c r="B157" s="24"/>
      <c r="C157" s="2" t="s">
        <v>11</v>
      </c>
      <c r="D157" s="2">
        <v>400</v>
      </c>
      <c r="E157" s="21"/>
      <c r="F157" s="2">
        <v>0</v>
      </c>
      <c r="G157" s="21"/>
      <c r="H157" s="2">
        <v>0</v>
      </c>
      <c r="I157" s="21"/>
      <c r="J157" s="2">
        <v>0</v>
      </c>
      <c r="K157" s="21"/>
      <c r="L157" s="2">
        <v>392</v>
      </c>
      <c r="M157" s="21"/>
      <c r="N157" s="2">
        <v>750</v>
      </c>
      <c r="O157" s="21"/>
      <c r="P157" s="2">
        <v>140</v>
      </c>
      <c r="Q157" s="21"/>
      <c r="R157" s="21"/>
    </row>
    <row r="158" spans="1:18" x14ac:dyDescent="0.3">
      <c r="A158" s="21"/>
      <c r="B158" s="24"/>
      <c r="C158" s="2" t="s">
        <v>12</v>
      </c>
      <c r="D158" s="2">
        <v>400</v>
      </c>
      <c r="E158" s="21"/>
      <c r="F158" s="2">
        <v>0</v>
      </c>
      <c r="G158" s="21"/>
      <c r="H158" s="2">
        <v>0</v>
      </c>
      <c r="I158" s="21"/>
      <c r="J158" s="2">
        <v>0</v>
      </c>
      <c r="K158" s="21"/>
      <c r="L158" s="2">
        <v>432</v>
      </c>
      <c r="M158" s="21"/>
      <c r="N158" s="2">
        <v>500</v>
      </c>
      <c r="O158" s="21"/>
      <c r="P158" s="2">
        <v>140</v>
      </c>
      <c r="Q158" s="21"/>
      <c r="R158" s="21"/>
    </row>
    <row r="159" spans="1:18" x14ac:dyDescent="0.3">
      <c r="A159" s="21"/>
      <c r="B159" s="24">
        <v>45076</v>
      </c>
      <c r="C159" s="2" t="s">
        <v>10</v>
      </c>
      <c r="D159" s="2">
        <v>400</v>
      </c>
      <c r="E159" s="22">
        <f>SUM(D159:D749)-SUM(E162:E749)</f>
        <v>1200</v>
      </c>
      <c r="F159" s="2">
        <v>0</v>
      </c>
      <c r="G159" s="22">
        <f>SUM(F159:F749)-SUM(G162:G749)</f>
        <v>0</v>
      </c>
      <c r="H159" s="2">
        <v>0</v>
      </c>
      <c r="I159" s="22">
        <f>SUM(H159:H749)-SUM(I162:I749)</f>
        <v>0</v>
      </c>
      <c r="J159" s="2">
        <v>0</v>
      </c>
      <c r="K159" s="22">
        <f>SUM(J159:J749)-SUM(K162:K749)</f>
        <v>0</v>
      </c>
      <c r="L159" s="2">
        <v>392</v>
      </c>
      <c r="M159" s="22">
        <f>SUM(L159:L749)-SUM(M162:M749)</f>
        <v>1151</v>
      </c>
      <c r="N159" s="2">
        <v>800</v>
      </c>
      <c r="O159" s="22">
        <f>SUM(N159:N749)-SUM(O162:O749)</f>
        <v>1800</v>
      </c>
      <c r="P159" s="2">
        <v>420</v>
      </c>
      <c r="Q159" s="22">
        <f>SUM(P159:P749)-SUM(Q162:Q749)</f>
        <v>420</v>
      </c>
      <c r="R159" s="21">
        <v>6.2</v>
      </c>
    </row>
    <row r="160" spans="1:18" x14ac:dyDescent="0.3">
      <c r="A160" s="21"/>
      <c r="B160" s="24"/>
      <c r="C160" s="2" t="s">
        <v>11</v>
      </c>
      <c r="D160" s="2">
        <v>400</v>
      </c>
      <c r="E160" s="21"/>
      <c r="F160" s="2">
        <v>0</v>
      </c>
      <c r="G160" s="21"/>
      <c r="H160" s="2">
        <v>0</v>
      </c>
      <c r="I160" s="21"/>
      <c r="J160" s="2">
        <v>0</v>
      </c>
      <c r="K160" s="21"/>
      <c r="L160" s="2">
        <v>375</v>
      </c>
      <c r="M160" s="21"/>
      <c r="N160" s="2">
        <v>700</v>
      </c>
      <c r="O160" s="21"/>
      <c r="P160" s="2">
        <v>0</v>
      </c>
      <c r="Q160" s="21"/>
      <c r="R160" s="21"/>
    </row>
    <row r="161" spans="1:18" x14ac:dyDescent="0.3">
      <c r="A161" s="21"/>
      <c r="B161" s="24"/>
      <c r="C161" s="2" t="s">
        <v>12</v>
      </c>
      <c r="D161" s="2">
        <v>400</v>
      </c>
      <c r="E161" s="21"/>
      <c r="F161" s="2">
        <v>0</v>
      </c>
      <c r="G161" s="21"/>
      <c r="H161" s="2">
        <v>0</v>
      </c>
      <c r="I161" s="21"/>
      <c r="J161" s="2">
        <v>0</v>
      </c>
      <c r="K161" s="21"/>
      <c r="L161" s="2">
        <v>384</v>
      </c>
      <c r="M161" s="21"/>
      <c r="N161" s="2">
        <v>300</v>
      </c>
      <c r="O161" s="21"/>
      <c r="P161" s="2">
        <v>0</v>
      </c>
      <c r="Q161" s="21"/>
      <c r="R161" s="21"/>
    </row>
    <row r="162" spans="1:18" x14ac:dyDescent="0.3">
      <c r="A162" s="21"/>
      <c r="B162" s="24">
        <v>45077</v>
      </c>
      <c r="C162" s="2" t="s">
        <v>10</v>
      </c>
      <c r="D162" s="2">
        <v>400</v>
      </c>
      <c r="E162" s="22">
        <f>SUM(D162:D752)-SUM(E165:E752)</f>
        <v>1040</v>
      </c>
      <c r="F162" s="2">
        <v>0</v>
      </c>
      <c r="G162" s="22">
        <f>SUM(F162:F752)-SUM(G165:G752)</f>
        <v>0</v>
      </c>
      <c r="H162" s="2">
        <v>0</v>
      </c>
      <c r="I162" s="22">
        <f>SUM(H162:H752)-SUM(I165:I752)</f>
        <v>0</v>
      </c>
      <c r="J162" s="2">
        <v>0</v>
      </c>
      <c r="K162" s="22">
        <f>SUM(J162:J752)-SUM(K165:K752)</f>
        <v>0</v>
      </c>
      <c r="L162" s="2">
        <v>392</v>
      </c>
      <c r="M162" s="22">
        <f>SUM(L162:L752)-SUM(M165:M752)</f>
        <v>1112</v>
      </c>
      <c r="N162" s="2">
        <v>600</v>
      </c>
      <c r="O162" s="22">
        <f>SUM(N162:N752)-SUM(O165:O752)</f>
        <v>1500</v>
      </c>
      <c r="P162" s="2">
        <v>0</v>
      </c>
      <c r="Q162" s="22">
        <f>SUM(P162:P752)-SUM(Q165:Q752)</f>
        <v>0</v>
      </c>
      <c r="R162" s="21">
        <v>9</v>
      </c>
    </row>
    <row r="163" spans="1:18" x14ac:dyDescent="0.3">
      <c r="A163" s="21"/>
      <c r="B163" s="24"/>
      <c r="C163" s="2" t="s">
        <v>11</v>
      </c>
      <c r="D163" s="2">
        <v>320</v>
      </c>
      <c r="E163" s="21"/>
      <c r="F163" s="2">
        <v>0</v>
      </c>
      <c r="G163" s="21"/>
      <c r="H163" s="2">
        <v>0</v>
      </c>
      <c r="I163" s="21"/>
      <c r="J163" s="2">
        <v>0</v>
      </c>
      <c r="K163" s="21"/>
      <c r="L163" s="2">
        <v>360</v>
      </c>
      <c r="M163" s="21"/>
      <c r="N163" s="2">
        <v>550</v>
      </c>
      <c r="O163" s="21"/>
      <c r="P163" s="2">
        <v>0</v>
      </c>
      <c r="Q163" s="21"/>
      <c r="R163" s="21"/>
    </row>
    <row r="164" spans="1:18" x14ac:dyDescent="0.3">
      <c r="A164" s="21"/>
      <c r="B164" s="24"/>
      <c r="C164" s="2" t="s">
        <v>12</v>
      </c>
      <c r="D164" s="2">
        <v>320</v>
      </c>
      <c r="E164" s="21"/>
      <c r="F164" s="2">
        <v>0</v>
      </c>
      <c r="G164" s="21"/>
      <c r="H164" s="2">
        <v>0</v>
      </c>
      <c r="I164" s="21"/>
      <c r="J164" s="2">
        <v>0</v>
      </c>
      <c r="K164" s="21"/>
      <c r="L164" s="2">
        <v>360</v>
      </c>
      <c r="M164" s="21"/>
      <c r="N164" s="2">
        <v>350</v>
      </c>
      <c r="O164" s="21"/>
      <c r="P164" s="2">
        <v>0</v>
      </c>
      <c r="Q164" s="21"/>
      <c r="R164" s="21"/>
    </row>
    <row r="165" spans="1:18" x14ac:dyDescent="0.3">
      <c r="A165" s="21" t="s">
        <v>20</v>
      </c>
      <c r="B165" s="24">
        <v>45078</v>
      </c>
      <c r="C165" s="2" t="s">
        <v>10</v>
      </c>
      <c r="D165" s="2">
        <v>320</v>
      </c>
      <c r="E165" s="22">
        <f>SUM(D165:D755)-SUM(E168:E755)</f>
        <v>960</v>
      </c>
      <c r="F165" s="2">
        <v>0</v>
      </c>
      <c r="G165" s="22">
        <f>SUM(F165:F755)-SUM(G168:G755)</f>
        <v>0</v>
      </c>
      <c r="H165" s="2">
        <v>450</v>
      </c>
      <c r="I165" s="22">
        <f>SUM(H165:H755)-SUM(I168:I755)</f>
        <v>1350</v>
      </c>
      <c r="J165" s="2">
        <v>240</v>
      </c>
      <c r="K165" s="22">
        <f>SUM(J165:J755)-SUM(K168:K755)</f>
        <v>720</v>
      </c>
      <c r="L165" s="2">
        <v>300</v>
      </c>
      <c r="M165" s="22">
        <f>SUM(L165:L755)-SUM(M168:M755)</f>
        <v>890</v>
      </c>
      <c r="N165" s="2">
        <v>350</v>
      </c>
      <c r="O165" s="22">
        <f>SUM(N165:N755)-SUM(O168:O755)</f>
        <v>1350</v>
      </c>
      <c r="P165" s="2">
        <v>0</v>
      </c>
      <c r="Q165" s="22">
        <f>SUM(P165:P755)-SUM(Q168:Q755)</f>
        <v>0</v>
      </c>
      <c r="R165" s="21">
        <v>7.5</v>
      </c>
    </row>
    <row r="166" spans="1:18" x14ac:dyDescent="0.3">
      <c r="A166" s="21"/>
      <c r="B166" s="24"/>
      <c r="C166" s="2" t="s">
        <v>11</v>
      </c>
      <c r="D166" s="2">
        <v>320</v>
      </c>
      <c r="E166" s="21"/>
      <c r="F166" s="2">
        <v>0</v>
      </c>
      <c r="G166" s="21"/>
      <c r="H166" s="2">
        <v>450</v>
      </c>
      <c r="I166" s="21"/>
      <c r="J166" s="2">
        <v>240</v>
      </c>
      <c r="K166" s="21"/>
      <c r="L166" s="2">
        <v>286</v>
      </c>
      <c r="M166" s="21"/>
      <c r="N166" s="2">
        <v>500</v>
      </c>
      <c r="O166" s="21"/>
      <c r="P166" s="2">
        <v>0</v>
      </c>
      <c r="Q166" s="21"/>
      <c r="R166" s="21"/>
    </row>
    <row r="167" spans="1:18" x14ac:dyDescent="0.3">
      <c r="A167" s="21"/>
      <c r="B167" s="24"/>
      <c r="C167" s="2" t="s">
        <v>12</v>
      </c>
      <c r="D167" s="2">
        <v>320</v>
      </c>
      <c r="E167" s="21"/>
      <c r="F167" s="2">
        <v>0</v>
      </c>
      <c r="G167" s="21"/>
      <c r="H167" s="2">
        <v>450</v>
      </c>
      <c r="I167" s="21"/>
      <c r="J167" s="2">
        <v>240</v>
      </c>
      <c r="K167" s="21"/>
      <c r="L167" s="2">
        <v>304</v>
      </c>
      <c r="M167" s="21"/>
      <c r="N167" s="2">
        <v>500</v>
      </c>
      <c r="O167" s="21"/>
      <c r="P167" s="2">
        <v>0</v>
      </c>
      <c r="Q167" s="21"/>
      <c r="R167" s="21"/>
    </row>
    <row r="168" spans="1:18" x14ac:dyDescent="0.3">
      <c r="A168" s="21"/>
      <c r="B168" s="24">
        <v>45079</v>
      </c>
      <c r="C168" s="2" t="s">
        <v>10</v>
      </c>
      <c r="D168" s="2">
        <v>320</v>
      </c>
      <c r="E168" s="22">
        <f>SUM(D168:D758)-SUM(E171:E758)</f>
        <v>960</v>
      </c>
      <c r="F168" s="2">
        <v>240</v>
      </c>
      <c r="G168" s="22">
        <f>SUM(F168:F758)-SUM(G171:G758)</f>
        <v>240</v>
      </c>
      <c r="H168" s="2">
        <v>450</v>
      </c>
      <c r="I168" s="22">
        <f>SUM(H168:H758)-SUM(I171:I758)</f>
        <v>1700</v>
      </c>
      <c r="J168" s="2">
        <v>0</v>
      </c>
      <c r="K168" s="22">
        <f>SUM(J168:J758)-SUM(K171:K758)</f>
        <v>0</v>
      </c>
      <c r="L168" s="2">
        <v>315</v>
      </c>
      <c r="M168" s="22">
        <f>SUM(L168:L758)-SUM(M171:M758)</f>
        <v>1081</v>
      </c>
      <c r="N168" s="2">
        <v>350</v>
      </c>
      <c r="O168" s="22">
        <f>SUM(N168:N758)-SUM(O171:O758)</f>
        <v>1350</v>
      </c>
      <c r="P168" s="2">
        <v>0</v>
      </c>
      <c r="Q168" s="22">
        <f>SUM(P168:P758)-SUM(Q171:Q758)</f>
        <v>350</v>
      </c>
      <c r="R168" s="21">
        <v>6.5</v>
      </c>
    </row>
    <row r="169" spans="1:18" x14ac:dyDescent="0.3">
      <c r="A169" s="21"/>
      <c r="B169" s="24"/>
      <c r="C169" s="2" t="s">
        <v>11</v>
      </c>
      <c r="D169" s="2">
        <v>320</v>
      </c>
      <c r="E169" s="21"/>
      <c r="F169" s="2">
        <v>0</v>
      </c>
      <c r="G169" s="21"/>
      <c r="H169" s="2">
        <v>650</v>
      </c>
      <c r="I169" s="21"/>
      <c r="J169" s="2">
        <v>0</v>
      </c>
      <c r="K169" s="21"/>
      <c r="L169" s="2">
        <v>478</v>
      </c>
      <c r="M169" s="21"/>
      <c r="N169" s="2">
        <v>500</v>
      </c>
      <c r="O169" s="21"/>
      <c r="P169" s="2">
        <v>210</v>
      </c>
      <c r="Q169" s="21"/>
      <c r="R169" s="21"/>
    </row>
    <row r="170" spans="1:18" x14ac:dyDescent="0.3">
      <c r="A170" s="21"/>
      <c r="B170" s="24"/>
      <c r="C170" s="2" t="s">
        <v>12</v>
      </c>
      <c r="D170" s="2">
        <v>320</v>
      </c>
      <c r="E170" s="21"/>
      <c r="F170" s="2">
        <v>0</v>
      </c>
      <c r="G170" s="21"/>
      <c r="H170" s="2">
        <v>600</v>
      </c>
      <c r="I170" s="21"/>
      <c r="J170" s="2">
        <v>0</v>
      </c>
      <c r="K170" s="21"/>
      <c r="L170" s="2">
        <v>288</v>
      </c>
      <c r="M170" s="21"/>
      <c r="N170" s="2">
        <v>500</v>
      </c>
      <c r="O170" s="21"/>
      <c r="P170" s="2">
        <v>140</v>
      </c>
      <c r="Q170" s="21"/>
      <c r="R170" s="21"/>
    </row>
    <row r="171" spans="1:18" x14ac:dyDescent="0.3">
      <c r="A171" s="21"/>
      <c r="B171" s="24">
        <v>45080</v>
      </c>
      <c r="C171" s="2" t="s">
        <v>10</v>
      </c>
      <c r="D171" s="2">
        <v>360</v>
      </c>
      <c r="E171" s="26">
        <f>SUM(D171:D761)-SUM(E174:E761)</f>
        <v>1080</v>
      </c>
      <c r="F171" s="2">
        <v>0</v>
      </c>
      <c r="G171" s="26">
        <f>SUM(F171:F761)-SUM(G174:G761)</f>
        <v>0</v>
      </c>
      <c r="H171" s="2">
        <v>700</v>
      </c>
      <c r="I171" s="26">
        <f>SUM(H171:H761)-SUM(I174:I761)</f>
        <v>2000</v>
      </c>
      <c r="J171" s="2">
        <v>0</v>
      </c>
      <c r="K171" s="26">
        <f>SUM(J171:J761)-SUM(K174:K761)</f>
        <v>0</v>
      </c>
      <c r="L171" s="2">
        <v>280</v>
      </c>
      <c r="M171" s="26">
        <f>SUM(L171:L761)-SUM(M174:M761)</f>
        <v>856</v>
      </c>
      <c r="N171" s="2">
        <v>350</v>
      </c>
      <c r="O171" s="26">
        <f>SUM(N171:N761)-SUM(O174:O761)</f>
        <v>1250</v>
      </c>
      <c r="P171" s="2">
        <v>0</v>
      </c>
      <c r="Q171" s="26">
        <f>SUM(P171:P761)-SUM(Q174:Q761)</f>
        <v>0</v>
      </c>
      <c r="R171" s="21">
        <v>8.5</v>
      </c>
    </row>
    <row r="172" spans="1:18" x14ac:dyDescent="0.3">
      <c r="A172" s="21"/>
      <c r="B172" s="24"/>
      <c r="C172" s="2" t="s">
        <v>11</v>
      </c>
      <c r="D172" s="2">
        <v>360</v>
      </c>
      <c r="E172" s="27"/>
      <c r="F172" s="2">
        <v>0</v>
      </c>
      <c r="G172" s="27"/>
      <c r="H172" s="2">
        <v>650</v>
      </c>
      <c r="I172" s="27"/>
      <c r="J172" s="2">
        <v>0</v>
      </c>
      <c r="K172" s="27"/>
      <c r="L172" s="2">
        <v>288</v>
      </c>
      <c r="M172" s="27"/>
      <c r="N172" s="2">
        <v>450</v>
      </c>
      <c r="O172" s="27"/>
      <c r="P172" s="2">
        <v>0</v>
      </c>
      <c r="Q172" s="27"/>
      <c r="R172" s="21"/>
    </row>
    <row r="173" spans="1:18" x14ac:dyDescent="0.3">
      <c r="A173" s="21"/>
      <c r="B173" s="24"/>
      <c r="C173" s="2" t="s">
        <v>12</v>
      </c>
      <c r="D173" s="2">
        <v>360</v>
      </c>
      <c r="E173" s="27"/>
      <c r="F173" s="2">
        <v>0</v>
      </c>
      <c r="G173" s="27"/>
      <c r="H173" s="2">
        <v>650</v>
      </c>
      <c r="I173" s="27"/>
      <c r="J173" s="2">
        <v>0</v>
      </c>
      <c r="K173" s="27"/>
      <c r="L173" s="2">
        <v>288</v>
      </c>
      <c r="M173" s="27"/>
      <c r="N173" s="2">
        <v>450</v>
      </c>
      <c r="O173" s="27"/>
      <c r="P173" s="2">
        <v>0</v>
      </c>
      <c r="Q173" s="27"/>
      <c r="R173" s="21"/>
    </row>
    <row r="174" spans="1:18" x14ac:dyDescent="0.3">
      <c r="A174" s="21"/>
      <c r="B174" s="24">
        <v>45081</v>
      </c>
      <c r="C174" s="2" t="s">
        <v>10</v>
      </c>
      <c r="D174" s="2">
        <v>320</v>
      </c>
      <c r="E174" s="22">
        <f>SUM(D174:D764)-SUM(E177:E764)</f>
        <v>940</v>
      </c>
      <c r="F174" s="2">
        <v>0</v>
      </c>
      <c r="G174" s="22">
        <f>SUM(F174:F764)-SUM(G177:G764)</f>
        <v>0</v>
      </c>
      <c r="H174" s="2">
        <v>450</v>
      </c>
      <c r="I174" s="22">
        <f>SUM(H174:H764)-SUM(I177:I764)</f>
        <v>1350</v>
      </c>
      <c r="J174" s="2">
        <v>240</v>
      </c>
      <c r="K174" s="22">
        <f>SUM(J174:J764)-SUM(K177:K764)</f>
        <v>720</v>
      </c>
      <c r="L174" s="2">
        <v>288</v>
      </c>
      <c r="M174" s="22">
        <f>SUM(L174:L764)-SUM(M177:M764)</f>
        <v>848</v>
      </c>
      <c r="N174" s="2">
        <v>350</v>
      </c>
      <c r="O174" s="22">
        <f>SUM(N174:N764)-SUM(O177:O764)</f>
        <v>850</v>
      </c>
      <c r="P174" s="2">
        <v>0</v>
      </c>
      <c r="Q174" s="22">
        <f>SUM(P174:P764)-SUM(Q177:Q764)</f>
        <v>0</v>
      </c>
      <c r="R174" s="21">
        <v>7.5</v>
      </c>
    </row>
    <row r="175" spans="1:18" x14ac:dyDescent="0.3">
      <c r="A175" s="21"/>
      <c r="B175" s="24"/>
      <c r="C175" s="2" t="s">
        <v>11</v>
      </c>
      <c r="D175" s="2">
        <v>360</v>
      </c>
      <c r="E175" s="21"/>
      <c r="F175" s="2">
        <v>0</v>
      </c>
      <c r="G175" s="21"/>
      <c r="H175" s="2">
        <v>450</v>
      </c>
      <c r="I175" s="21"/>
      <c r="J175" s="2">
        <v>240</v>
      </c>
      <c r="K175" s="21"/>
      <c r="L175" s="2">
        <v>280</v>
      </c>
      <c r="M175" s="21"/>
      <c r="N175" s="2">
        <v>250</v>
      </c>
      <c r="O175" s="21"/>
      <c r="P175" s="2">
        <v>0</v>
      </c>
      <c r="Q175" s="21"/>
      <c r="R175" s="21"/>
    </row>
    <row r="176" spans="1:18" x14ac:dyDescent="0.3">
      <c r="A176" s="21"/>
      <c r="B176" s="24"/>
      <c r="C176" s="2" t="s">
        <v>12</v>
      </c>
      <c r="D176" s="2">
        <v>260</v>
      </c>
      <c r="E176" s="21"/>
      <c r="F176" s="2">
        <v>0</v>
      </c>
      <c r="G176" s="21"/>
      <c r="H176" s="2">
        <v>450</v>
      </c>
      <c r="I176" s="21"/>
      <c r="J176" s="2">
        <v>240</v>
      </c>
      <c r="K176" s="21"/>
      <c r="L176" s="2">
        <v>280</v>
      </c>
      <c r="M176" s="21"/>
      <c r="N176" s="2">
        <v>250</v>
      </c>
      <c r="O176" s="21"/>
      <c r="P176" s="2">
        <v>0</v>
      </c>
      <c r="Q176" s="21"/>
      <c r="R176" s="21"/>
    </row>
    <row r="177" spans="1:18" x14ac:dyDescent="0.3">
      <c r="A177" s="21"/>
      <c r="B177" s="24">
        <v>45082</v>
      </c>
      <c r="C177" s="2" t="s">
        <v>10</v>
      </c>
      <c r="D177" s="2">
        <v>320</v>
      </c>
      <c r="E177" s="22">
        <f>SUM(D177:D767)-SUM(E180:E767)</f>
        <v>1280</v>
      </c>
      <c r="F177" s="2">
        <v>240</v>
      </c>
      <c r="G177" s="22">
        <f>SUM(F177:F767)-SUM(G180:G767)</f>
        <v>720</v>
      </c>
      <c r="H177" s="2">
        <v>450</v>
      </c>
      <c r="I177" s="22">
        <f>SUM(H177:H767)-SUM(I180:I767)</f>
        <v>1050</v>
      </c>
      <c r="J177" s="2">
        <v>0</v>
      </c>
      <c r="K177" s="22">
        <f>SUM(J177:J767)-SUM(K180:K767)</f>
        <v>0</v>
      </c>
      <c r="L177" s="2">
        <v>244</v>
      </c>
      <c r="M177" s="22">
        <f>SUM(L177:L767)-SUM(M180:M767)</f>
        <v>756</v>
      </c>
      <c r="N177" s="2">
        <v>350</v>
      </c>
      <c r="O177" s="22">
        <f>SUM(N177:N767)-SUM(O180:O767)</f>
        <v>1050</v>
      </c>
      <c r="P177" s="2">
        <v>0</v>
      </c>
      <c r="Q177" s="22">
        <f>SUM(P177:P767)-SUM(Q180:Q767)</f>
        <v>0</v>
      </c>
      <c r="R177" s="21">
        <v>7</v>
      </c>
    </row>
    <row r="178" spans="1:18" x14ac:dyDescent="0.3">
      <c r="A178" s="21"/>
      <c r="B178" s="24"/>
      <c r="C178" s="2" t="s">
        <v>11</v>
      </c>
      <c r="D178" s="2">
        <v>480</v>
      </c>
      <c r="E178" s="21"/>
      <c r="F178" s="2">
        <v>240</v>
      </c>
      <c r="G178" s="21"/>
      <c r="H178" s="2">
        <v>300</v>
      </c>
      <c r="I178" s="21"/>
      <c r="J178" s="2">
        <v>0</v>
      </c>
      <c r="K178" s="21"/>
      <c r="L178" s="2">
        <v>256</v>
      </c>
      <c r="M178" s="21"/>
      <c r="N178" s="2">
        <v>350</v>
      </c>
      <c r="O178" s="21"/>
      <c r="P178" s="2">
        <v>0</v>
      </c>
      <c r="Q178" s="21"/>
      <c r="R178" s="21"/>
    </row>
    <row r="179" spans="1:18" x14ac:dyDescent="0.3">
      <c r="A179" s="21"/>
      <c r="B179" s="24"/>
      <c r="C179" s="2" t="s">
        <v>12</v>
      </c>
      <c r="D179" s="2">
        <v>480</v>
      </c>
      <c r="E179" s="21"/>
      <c r="F179" s="2">
        <v>240</v>
      </c>
      <c r="G179" s="21"/>
      <c r="H179" s="2">
        <v>300</v>
      </c>
      <c r="I179" s="21"/>
      <c r="J179" s="2">
        <v>0</v>
      </c>
      <c r="K179" s="21"/>
      <c r="L179" s="2">
        <v>256</v>
      </c>
      <c r="M179" s="21"/>
      <c r="N179" s="2">
        <v>350</v>
      </c>
      <c r="O179" s="21"/>
      <c r="P179" s="2">
        <v>0</v>
      </c>
      <c r="Q179" s="21"/>
      <c r="R179" s="21"/>
    </row>
    <row r="180" spans="1:18" x14ac:dyDescent="0.3">
      <c r="A180" s="21"/>
      <c r="B180" s="24">
        <v>45083</v>
      </c>
      <c r="C180" s="2" t="s">
        <v>10</v>
      </c>
      <c r="D180" s="2">
        <v>480</v>
      </c>
      <c r="E180" s="22">
        <f>SUM(D180:D770)-SUM(E183:E770)</f>
        <v>1640</v>
      </c>
      <c r="F180" s="2">
        <v>240</v>
      </c>
      <c r="G180" s="22">
        <f>SUM(F180:F770)-SUM(G183:G770)</f>
        <v>480</v>
      </c>
      <c r="H180" s="2">
        <v>300</v>
      </c>
      <c r="I180" s="22">
        <f>SUM(H180:H770)-SUM(I183:I770)</f>
        <v>600</v>
      </c>
      <c r="J180" s="2">
        <v>0</v>
      </c>
      <c r="K180" s="22">
        <f>SUM(J180:J770)-SUM(K183:K770)</f>
        <v>0</v>
      </c>
      <c r="L180" s="2">
        <v>256</v>
      </c>
      <c r="M180" s="22">
        <f>SUM(L180:L770)-SUM(M183:M770)</f>
        <v>816</v>
      </c>
      <c r="N180" s="2">
        <v>350</v>
      </c>
      <c r="O180" s="22">
        <f>SUM(N180:N770)-SUM(O183:O770)</f>
        <v>1050</v>
      </c>
      <c r="P180" s="2">
        <v>0</v>
      </c>
      <c r="Q180" s="22">
        <f>SUM(P180:P770)-SUM(Q183:Q770)</f>
        <v>0</v>
      </c>
      <c r="R180" s="21">
        <v>8</v>
      </c>
    </row>
    <row r="181" spans="1:18" x14ac:dyDescent="0.3">
      <c r="A181" s="21"/>
      <c r="B181" s="24"/>
      <c r="C181" s="2" t="s">
        <v>11</v>
      </c>
      <c r="D181" s="2">
        <v>480</v>
      </c>
      <c r="E181" s="21"/>
      <c r="F181" s="2">
        <v>240</v>
      </c>
      <c r="G181" s="21"/>
      <c r="H181" s="2">
        <v>300</v>
      </c>
      <c r="I181" s="21"/>
      <c r="J181" s="2">
        <v>0</v>
      </c>
      <c r="K181" s="21"/>
      <c r="L181" s="2">
        <v>280</v>
      </c>
      <c r="M181" s="21"/>
      <c r="N181" s="2">
        <v>350</v>
      </c>
      <c r="O181" s="21"/>
      <c r="P181" s="2">
        <v>0</v>
      </c>
      <c r="Q181" s="21"/>
      <c r="R181" s="21"/>
    </row>
    <row r="182" spans="1:18" x14ac:dyDescent="0.3">
      <c r="A182" s="21"/>
      <c r="B182" s="24"/>
      <c r="C182" s="2" t="s">
        <v>12</v>
      </c>
      <c r="D182" s="2">
        <v>680</v>
      </c>
      <c r="E182" s="21"/>
      <c r="F182" s="2">
        <v>0</v>
      </c>
      <c r="G182" s="21"/>
      <c r="H182" s="2">
        <v>0</v>
      </c>
      <c r="I182" s="21"/>
      <c r="J182" s="2">
        <v>0</v>
      </c>
      <c r="K182" s="21"/>
      <c r="L182" s="2">
        <v>280</v>
      </c>
      <c r="M182" s="21"/>
      <c r="N182" s="2">
        <v>350</v>
      </c>
      <c r="O182" s="21"/>
      <c r="P182" s="2">
        <v>0</v>
      </c>
      <c r="Q182" s="21"/>
      <c r="R182" s="21"/>
    </row>
    <row r="183" spans="1:18" x14ac:dyDescent="0.3">
      <c r="A183" s="21"/>
      <c r="B183" s="24">
        <v>45084</v>
      </c>
      <c r="C183" s="2" t="s">
        <v>10</v>
      </c>
      <c r="D183" s="2">
        <v>1020</v>
      </c>
      <c r="E183" s="22">
        <f>SUM(D183:D773)-SUM(E186:E773)</f>
        <v>2580</v>
      </c>
      <c r="F183" s="2">
        <v>0</v>
      </c>
      <c r="G183" s="22">
        <f>SUM(F183:F773)-SUM(G186:G773)</f>
        <v>240</v>
      </c>
      <c r="H183" s="2">
        <v>0</v>
      </c>
      <c r="I183" s="22">
        <f>SUM(H183:H773)-SUM(I186:I773)</f>
        <v>100</v>
      </c>
      <c r="J183" s="2">
        <v>0</v>
      </c>
      <c r="K183" s="22">
        <f>SUM(J183:J773)-SUM(K186:K773)</f>
        <v>0</v>
      </c>
      <c r="L183" s="2">
        <v>272</v>
      </c>
      <c r="M183" s="22">
        <f>SUM(L183:L773)-SUM(M186:M773)</f>
        <v>800</v>
      </c>
      <c r="N183" s="2">
        <v>350</v>
      </c>
      <c r="O183" s="22">
        <f>SUM(N183:N773)-SUM(O186:O773)</f>
        <v>1050</v>
      </c>
      <c r="P183" s="2">
        <v>0</v>
      </c>
      <c r="Q183" s="22">
        <f>SUM(P183:P773)-SUM(Q186:Q773)</f>
        <v>0</v>
      </c>
      <c r="R183" s="21">
        <v>6</v>
      </c>
    </row>
    <row r="184" spans="1:18" x14ac:dyDescent="0.3">
      <c r="A184" s="21"/>
      <c r="B184" s="24"/>
      <c r="C184" s="2" t="s">
        <v>11</v>
      </c>
      <c r="D184" s="2">
        <v>780</v>
      </c>
      <c r="E184" s="21"/>
      <c r="F184" s="2">
        <v>0</v>
      </c>
      <c r="G184" s="21"/>
      <c r="H184" s="2">
        <v>100</v>
      </c>
      <c r="I184" s="21"/>
      <c r="J184" s="2">
        <v>0</v>
      </c>
      <c r="K184" s="21"/>
      <c r="L184" s="2">
        <v>264</v>
      </c>
      <c r="M184" s="21"/>
      <c r="N184" s="2">
        <v>350</v>
      </c>
      <c r="O184" s="21"/>
      <c r="P184" s="2">
        <v>0</v>
      </c>
      <c r="Q184" s="21"/>
      <c r="R184" s="21"/>
    </row>
    <row r="185" spans="1:18" x14ac:dyDescent="0.3">
      <c r="A185" s="21"/>
      <c r="B185" s="24"/>
      <c r="C185" s="2" t="s">
        <v>12</v>
      </c>
      <c r="D185" s="2">
        <v>780</v>
      </c>
      <c r="E185" s="21"/>
      <c r="F185" s="2">
        <v>240</v>
      </c>
      <c r="G185" s="21"/>
      <c r="H185" s="2">
        <v>0</v>
      </c>
      <c r="I185" s="21"/>
      <c r="J185" s="2">
        <v>0</v>
      </c>
      <c r="K185" s="21"/>
      <c r="L185" s="2">
        <v>264</v>
      </c>
      <c r="M185" s="21"/>
      <c r="N185" s="2">
        <v>350</v>
      </c>
      <c r="O185" s="21"/>
      <c r="P185" s="2">
        <v>0</v>
      </c>
      <c r="Q185" s="21"/>
      <c r="R185" s="21"/>
    </row>
    <row r="186" spans="1:18" x14ac:dyDescent="0.3">
      <c r="A186" s="21"/>
      <c r="B186" s="24">
        <v>45085</v>
      </c>
      <c r="C186" s="2" t="s">
        <v>10</v>
      </c>
      <c r="D186" s="2">
        <v>780</v>
      </c>
      <c r="E186" s="22">
        <f>SUM(D186:D776)-SUM(E189:E776)</f>
        <v>2340</v>
      </c>
      <c r="F186" s="2">
        <v>240</v>
      </c>
      <c r="G186" s="22">
        <f>SUM(F186:F776)-SUM(G189:G776)</f>
        <v>720</v>
      </c>
      <c r="H186" s="2">
        <v>0</v>
      </c>
      <c r="I186" s="22">
        <f>SUM(H186:H776)-SUM(I189:I776)</f>
        <v>0</v>
      </c>
      <c r="J186" s="2">
        <v>0</v>
      </c>
      <c r="K186" s="22">
        <f>SUM(J186:J776)-SUM(K189:K776)</f>
        <v>0</v>
      </c>
      <c r="L186" s="2">
        <v>280</v>
      </c>
      <c r="M186" s="22">
        <f>SUM(L186:L776)-SUM(M189:M776)</f>
        <v>840</v>
      </c>
      <c r="N186" s="2">
        <v>350</v>
      </c>
      <c r="O186" s="22">
        <f>SUM(N186:N776)-SUM(O189:O776)</f>
        <v>1050</v>
      </c>
      <c r="P186" s="2">
        <v>0</v>
      </c>
      <c r="Q186" s="22">
        <f>SUM(P186:P776)-SUM(Q189:Q776)</f>
        <v>0</v>
      </c>
      <c r="R186" s="21">
        <v>6.5</v>
      </c>
    </row>
    <row r="187" spans="1:18" x14ac:dyDescent="0.3">
      <c r="A187" s="21"/>
      <c r="B187" s="24"/>
      <c r="C187" s="2" t="s">
        <v>11</v>
      </c>
      <c r="D187" s="2">
        <v>780</v>
      </c>
      <c r="E187" s="21"/>
      <c r="F187" s="2">
        <v>240</v>
      </c>
      <c r="G187" s="21"/>
      <c r="H187" s="2">
        <v>0</v>
      </c>
      <c r="I187" s="21"/>
      <c r="J187" s="2">
        <v>0</v>
      </c>
      <c r="K187" s="21"/>
      <c r="L187" s="2">
        <v>280</v>
      </c>
      <c r="M187" s="21"/>
      <c r="N187" s="2">
        <v>350</v>
      </c>
      <c r="O187" s="21"/>
      <c r="P187" s="2">
        <v>0</v>
      </c>
      <c r="Q187" s="21"/>
      <c r="R187" s="21"/>
    </row>
    <row r="188" spans="1:18" x14ac:dyDescent="0.3">
      <c r="A188" s="21"/>
      <c r="B188" s="24"/>
      <c r="C188" s="2" t="s">
        <v>12</v>
      </c>
      <c r="D188" s="2">
        <v>780</v>
      </c>
      <c r="E188" s="21"/>
      <c r="F188" s="2">
        <v>240</v>
      </c>
      <c r="G188" s="21"/>
      <c r="H188" s="2">
        <v>0</v>
      </c>
      <c r="I188" s="21"/>
      <c r="J188" s="2">
        <v>0</v>
      </c>
      <c r="K188" s="21"/>
      <c r="L188" s="2">
        <v>280</v>
      </c>
      <c r="M188" s="21"/>
      <c r="N188" s="2">
        <v>350</v>
      </c>
      <c r="O188" s="21"/>
      <c r="P188" s="2">
        <v>0</v>
      </c>
      <c r="Q188" s="21"/>
      <c r="R188" s="21"/>
    </row>
    <row r="189" spans="1:18" x14ac:dyDescent="0.3">
      <c r="A189" s="21"/>
      <c r="B189" s="24">
        <v>45086</v>
      </c>
      <c r="C189" s="2" t="s">
        <v>10</v>
      </c>
      <c r="D189" s="2">
        <v>780</v>
      </c>
      <c r="E189" s="26">
        <f>SUM(D189:D779)-SUM(E192:E779)</f>
        <v>2340</v>
      </c>
      <c r="F189" s="2">
        <v>240</v>
      </c>
      <c r="G189" s="26">
        <f>SUM(F189:F779)-SUM(G192:G779)</f>
        <v>720</v>
      </c>
      <c r="H189" s="2">
        <v>0</v>
      </c>
      <c r="I189" s="26">
        <f>SUM(H189:H779)-SUM(I192:I779)</f>
        <v>0</v>
      </c>
      <c r="J189" s="2">
        <v>0</v>
      </c>
      <c r="K189" s="26">
        <f>SUM(J189:J779)-SUM(K192:K779)</f>
        <v>0</v>
      </c>
      <c r="L189" s="2">
        <v>280</v>
      </c>
      <c r="M189" s="26">
        <f>SUM(L189:L779)-SUM(M192:M779)</f>
        <v>840</v>
      </c>
      <c r="N189" s="2">
        <v>400</v>
      </c>
      <c r="O189" s="26">
        <f>SUM(N189:N779)-SUM(O192:O779)</f>
        <v>1150</v>
      </c>
      <c r="P189" s="2">
        <v>0</v>
      </c>
      <c r="Q189" s="26">
        <f>SUM(P189:P779)-SUM(Q192:Q779)</f>
        <v>0</v>
      </c>
      <c r="R189" s="21">
        <v>7</v>
      </c>
    </row>
    <row r="190" spans="1:18" x14ac:dyDescent="0.3">
      <c r="A190" s="21"/>
      <c r="B190" s="24"/>
      <c r="C190" s="2" t="s">
        <v>11</v>
      </c>
      <c r="D190" s="2">
        <v>780</v>
      </c>
      <c r="E190" s="27"/>
      <c r="F190" s="2">
        <v>240</v>
      </c>
      <c r="G190" s="27"/>
      <c r="H190" s="2">
        <v>0</v>
      </c>
      <c r="I190" s="27"/>
      <c r="J190" s="2">
        <v>0</v>
      </c>
      <c r="K190" s="27"/>
      <c r="L190" s="2">
        <v>280</v>
      </c>
      <c r="M190" s="27"/>
      <c r="N190" s="2">
        <v>400</v>
      </c>
      <c r="O190" s="27"/>
      <c r="P190" s="2">
        <v>0</v>
      </c>
      <c r="Q190" s="27"/>
      <c r="R190" s="21"/>
    </row>
    <row r="191" spans="1:18" x14ac:dyDescent="0.3">
      <c r="A191" s="21"/>
      <c r="B191" s="24"/>
      <c r="C191" s="2" t="s">
        <v>12</v>
      </c>
      <c r="D191" s="2">
        <v>780</v>
      </c>
      <c r="E191" s="27"/>
      <c r="F191" s="2">
        <v>240</v>
      </c>
      <c r="G191" s="27"/>
      <c r="H191" s="2">
        <v>0</v>
      </c>
      <c r="I191" s="27"/>
      <c r="J191" s="2">
        <v>0</v>
      </c>
      <c r="K191" s="27"/>
      <c r="L191" s="2">
        <v>280</v>
      </c>
      <c r="M191" s="27"/>
      <c r="N191" s="2">
        <v>350</v>
      </c>
      <c r="O191" s="27"/>
      <c r="P191" s="2">
        <v>0</v>
      </c>
      <c r="Q191" s="27"/>
      <c r="R191" s="21"/>
    </row>
    <row r="192" spans="1:18" x14ac:dyDescent="0.3">
      <c r="A192" s="21"/>
      <c r="B192" s="24">
        <v>45087</v>
      </c>
      <c r="C192" s="2" t="s">
        <v>10</v>
      </c>
      <c r="D192" s="2">
        <v>780</v>
      </c>
      <c r="E192" s="22">
        <f>SUM(D192:D782)-SUM(E195:E782)</f>
        <v>2540</v>
      </c>
      <c r="F192" s="2">
        <v>240</v>
      </c>
      <c r="G192" s="22">
        <f>SUM(F192:F782)-SUM(G195:G782)</f>
        <v>480</v>
      </c>
      <c r="H192" s="2">
        <v>0</v>
      </c>
      <c r="I192" s="22">
        <f>SUM(H192:H782)-SUM(I195:I782)</f>
        <v>0</v>
      </c>
      <c r="J192" s="2">
        <v>0</v>
      </c>
      <c r="K192" s="22">
        <f>SUM(J192:J782)-SUM(K195:K782)</f>
        <v>0</v>
      </c>
      <c r="L192" s="2">
        <v>272</v>
      </c>
      <c r="M192" s="22">
        <f>SUM(L192:L782)-SUM(M195:M782)</f>
        <v>832</v>
      </c>
      <c r="N192" s="2">
        <v>350</v>
      </c>
      <c r="O192" s="22">
        <f>SUM(N192:N782)-SUM(O195:O782)</f>
        <v>1050</v>
      </c>
      <c r="P192" s="2">
        <v>0</v>
      </c>
      <c r="Q192" s="22">
        <f>SUM(P192:P782)-SUM(Q195:Q782)</f>
        <v>0</v>
      </c>
      <c r="R192" s="21">
        <v>9</v>
      </c>
    </row>
    <row r="193" spans="1:18" x14ac:dyDescent="0.3">
      <c r="A193" s="21"/>
      <c r="B193" s="24"/>
      <c r="C193" s="2" t="s">
        <v>11</v>
      </c>
      <c r="D193" s="2">
        <v>780</v>
      </c>
      <c r="E193" s="21"/>
      <c r="F193" s="2">
        <v>240</v>
      </c>
      <c r="G193" s="21"/>
      <c r="H193" s="2">
        <v>0</v>
      </c>
      <c r="I193" s="21"/>
      <c r="J193" s="2">
        <v>0</v>
      </c>
      <c r="K193" s="21"/>
      <c r="L193" s="2">
        <v>280</v>
      </c>
      <c r="M193" s="21"/>
      <c r="N193" s="2">
        <v>350</v>
      </c>
      <c r="O193" s="21"/>
      <c r="P193" s="2">
        <v>0</v>
      </c>
      <c r="Q193" s="21"/>
      <c r="R193" s="21"/>
    </row>
    <row r="194" spans="1:18" x14ac:dyDescent="0.3">
      <c r="A194" s="21"/>
      <c r="B194" s="24"/>
      <c r="C194" s="2" t="s">
        <v>12</v>
      </c>
      <c r="D194" s="2">
        <v>980</v>
      </c>
      <c r="E194" s="21"/>
      <c r="F194" s="2">
        <v>0</v>
      </c>
      <c r="G194" s="21"/>
      <c r="H194" s="2">
        <v>0</v>
      </c>
      <c r="I194" s="21"/>
      <c r="J194" s="2">
        <v>0</v>
      </c>
      <c r="K194" s="21"/>
      <c r="L194" s="2">
        <v>280</v>
      </c>
      <c r="M194" s="21"/>
      <c r="N194" s="2">
        <v>350</v>
      </c>
      <c r="O194" s="21"/>
      <c r="P194" s="2">
        <v>0</v>
      </c>
      <c r="Q194" s="21"/>
      <c r="R194" s="21"/>
    </row>
    <row r="195" spans="1:18" x14ac:dyDescent="0.3">
      <c r="A195" s="21"/>
      <c r="B195" s="24">
        <v>45088</v>
      </c>
      <c r="C195" s="2" t="s">
        <v>10</v>
      </c>
      <c r="D195" s="2">
        <v>1020</v>
      </c>
      <c r="E195" s="22">
        <f>SUM(D195:D785)-SUM(E198:E785)</f>
        <v>3060</v>
      </c>
      <c r="F195" s="2">
        <v>0</v>
      </c>
      <c r="G195" s="22">
        <f>SUM(F195:F785)-SUM(G198:G785)</f>
        <v>0</v>
      </c>
      <c r="H195" s="2">
        <v>0</v>
      </c>
      <c r="I195" s="22">
        <f>SUM(H195:H785)-SUM(I198:I785)</f>
        <v>0</v>
      </c>
      <c r="J195" s="2">
        <v>0</v>
      </c>
      <c r="K195" s="22">
        <f>SUM(J195:J785)-SUM(K198:K785)</f>
        <v>0</v>
      </c>
      <c r="L195" s="2">
        <v>280</v>
      </c>
      <c r="M195" s="22">
        <f>SUM(L195:L785)-SUM(M198:M785)</f>
        <v>840</v>
      </c>
      <c r="N195" s="2">
        <v>350</v>
      </c>
      <c r="O195" s="22">
        <f>SUM(N195:N785)-SUM(O198:O785)</f>
        <v>1050</v>
      </c>
      <c r="P195" s="2">
        <v>0</v>
      </c>
      <c r="Q195" s="22">
        <f>SUM(P195:P785)-SUM(Q198:Q785)</f>
        <v>0</v>
      </c>
      <c r="R195" s="21">
        <v>8</v>
      </c>
    </row>
    <row r="196" spans="1:18" x14ac:dyDescent="0.3">
      <c r="A196" s="21"/>
      <c r="B196" s="24"/>
      <c r="C196" s="2" t="s">
        <v>11</v>
      </c>
      <c r="D196" s="2">
        <v>1020</v>
      </c>
      <c r="E196" s="21"/>
      <c r="F196" s="2">
        <v>0</v>
      </c>
      <c r="G196" s="21"/>
      <c r="H196" s="2">
        <v>0</v>
      </c>
      <c r="I196" s="21"/>
      <c r="J196" s="2">
        <v>0</v>
      </c>
      <c r="K196" s="21"/>
      <c r="L196" s="2">
        <v>280</v>
      </c>
      <c r="M196" s="21"/>
      <c r="N196" s="2">
        <v>350</v>
      </c>
      <c r="O196" s="21"/>
      <c r="P196" s="2">
        <v>0</v>
      </c>
      <c r="Q196" s="21"/>
      <c r="R196" s="21"/>
    </row>
    <row r="197" spans="1:18" x14ac:dyDescent="0.3">
      <c r="A197" s="21"/>
      <c r="B197" s="24"/>
      <c r="C197" s="2" t="s">
        <v>12</v>
      </c>
      <c r="D197" s="2">
        <v>1020</v>
      </c>
      <c r="E197" s="21"/>
      <c r="F197" s="2">
        <v>0</v>
      </c>
      <c r="G197" s="21"/>
      <c r="H197" s="2">
        <v>0</v>
      </c>
      <c r="I197" s="21"/>
      <c r="J197" s="2">
        <v>0</v>
      </c>
      <c r="K197" s="21"/>
      <c r="L197" s="2">
        <v>280</v>
      </c>
      <c r="M197" s="21"/>
      <c r="N197" s="2">
        <v>350</v>
      </c>
      <c r="O197" s="21"/>
      <c r="P197" s="2">
        <v>0</v>
      </c>
      <c r="Q197" s="21"/>
      <c r="R197" s="21"/>
    </row>
    <row r="198" spans="1:18" x14ac:dyDescent="0.3">
      <c r="A198" s="21"/>
      <c r="B198" s="24">
        <v>45089</v>
      </c>
      <c r="C198" s="2" t="s">
        <v>10</v>
      </c>
      <c r="D198" s="2">
        <v>1020</v>
      </c>
      <c r="E198" s="22">
        <f>SUM(D198:D788)-SUM(E201:E788)</f>
        <v>3020</v>
      </c>
      <c r="F198" s="2">
        <v>0</v>
      </c>
      <c r="G198" s="22">
        <f>SUM(F198:F788)-SUM(G201:G788)</f>
        <v>0</v>
      </c>
      <c r="H198" s="2">
        <v>0</v>
      </c>
      <c r="I198" s="22">
        <f>SUM(H198:H788)-SUM(I201:I788)</f>
        <v>0</v>
      </c>
      <c r="J198" s="2">
        <v>0</v>
      </c>
      <c r="K198" s="22">
        <f>SUM(J198:J788)-SUM(K201:K788)</f>
        <v>0</v>
      </c>
      <c r="L198" s="2">
        <v>274</v>
      </c>
      <c r="M198" s="22">
        <f>SUM(L198:L788)-SUM(M201:M788)</f>
        <v>818</v>
      </c>
      <c r="N198" s="2">
        <v>350</v>
      </c>
      <c r="O198" s="22">
        <f>SUM(N198:N788)-SUM(O201:O788)</f>
        <v>850</v>
      </c>
      <c r="P198" s="2">
        <v>140</v>
      </c>
      <c r="Q198" s="22">
        <f>SUM(P198:P788)-SUM(Q201:Q788)</f>
        <v>245</v>
      </c>
      <c r="R198" s="21">
        <v>7</v>
      </c>
    </row>
    <row r="199" spans="1:18" x14ac:dyDescent="0.3">
      <c r="A199" s="21"/>
      <c r="B199" s="24"/>
      <c r="C199" s="2" t="s">
        <v>11</v>
      </c>
      <c r="D199" s="2">
        <v>980</v>
      </c>
      <c r="E199" s="21"/>
      <c r="F199" s="2">
        <v>0</v>
      </c>
      <c r="G199" s="21"/>
      <c r="H199" s="2">
        <v>0</v>
      </c>
      <c r="I199" s="21"/>
      <c r="J199" s="2">
        <v>0</v>
      </c>
      <c r="K199" s="21"/>
      <c r="L199" s="2">
        <v>288</v>
      </c>
      <c r="M199" s="21"/>
      <c r="N199" s="2">
        <v>300</v>
      </c>
      <c r="O199" s="21"/>
      <c r="P199" s="2">
        <v>35</v>
      </c>
      <c r="Q199" s="21"/>
      <c r="R199" s="21"/>
    </row>
    <row r="200" spans="1:18" x14ac:dyDescent="0.3">
      <c r="A200" s="21"/>
      <c r="B200" s="24"/>
      <c r="C200" s="2" t="s">
        <v>12</v>
      </c>
      <c r="D200" s="2">
        <v>1020</v>
      </c>
      <c r="E200" s="21"/>
      <c r="F200" s="2">
        <v>0</v>
      </c>
      <c r="G200" s="21"/>
      <c r="H200" s="2">
        <v>0</v>
      </c>
      <c r="I200" s="21"/>
      <c r="J200" s="2">
        <v>0</v>
      </c>
      <c r="K200" s="21"/>
      <c r="L200" s="2">
        <v>256</v>
      </c>
      <c r="M200" s="21"/>
      <c r="N200" s="2">
        <v>200</v>
      </c>
      <c r="O200" s="21"/>
      <c r="P200" s="2">
        <v>70</v>
      </c>
      <c r="Q200" s="21"/>
      <c r="R200" s="21"/>
    </row>
    <row r="201" spans="1:18" x14ac:dyDescent="0.3">
      <c r="A201" s="21"/>
      <c r="B201" s="24">
        <v>45090</v>
      </c>
      <c r="C201" s="2" t="s">
        <v>10</v>
      </c>
      <c r="D201" s="2">
        <v>1020</v>
      </c>
      <c r="E201" s="22">
        <f>SUM(D201:D791)-SUM(E204:E791)</f>
        <v>3060</v>
      </c>
      <c r="F201" s="2">
        <v>0</v>
      </c>
      <c r="G201" s="22">
        <f>SUM(F201:F791)-SUM(G204:G791)</f>
        <v>0</v>
      </c>
      <c r="H201" s="2">
        <v>0</v>
      </c>
      <c r="I201" s="22">
        <f>SUM(H201:H791)-SUM(I204:I791)</f>
        <v>0</v>
      </c>
      <c r="J201" s="2">
        <v>0</v>
      </c>
      <c r="K201" s="22">
        <f>SUM(J201:J791)-SUM(K204:K791)</f>
        <v>0</v>
      </c>
      <c r="L201" s="2">
        <v>252</v>
      </c>
      <c r="M201" s="22">
        <f>SUM(L201:L791)-SUM(M204:M791)</f>
        <v>780</v>
      </c>
      <c r="N201" s="2">
        <v>350</v>
      </c>
      <c r="O201" s="22">
        <f>SUM(N201:N791)-SUM(O204:O791)</f>
        <v>700</v>
      </c>
      <c r="P201" s="2">
        <v>35</v>
      </c>
      <c r="Q201" s="22">
        <f>SUM(P201:P791)-SUM(Q204:Q791)</f>
        <v>35</v>
      </c>
      <c r="R201" s="21">
        <v>6.3</v>
      </c>
    </row>
    <row r="202" spans="1:18" x14ac:dyDescent="0.3">
      <c r="A202" s="21"/>
      <c r="B202" s="24"/>
      <c r="C202" s="2" t="s">
        <v>11</v>
      </c>
      <c r="D202" s="2">
        <v>1020</v>
      </c>
      <c r="E202" s="21"/>
      <c r="F202" s="2">
        <v>0</v>
      </c>
      <c r="G202" s="21"/>
      <c r="H202" s="2">
        <v>0</v>
      </c>
      <c r="I202" s="21"/>
      <c r="J202" s="2">
        <v>0</v>
      </c>
      <c r="K202" s="21"/>
      <c r="L202" s="2">
        <v>272</v>
      </c>
      <c r="M202" s="21"/>
      <c r="N202" s="2">
        <v>0</v>
      </c>
      <c r="O202" s="21"/>
      <c r="P202" s="2">
        <v>0</v>
      </c>
      <c r="Q202" s="21"/>
      <c r="R202" s="21"/>
    </row>
    <row r="203" spans="1:18" x14ac:dyDescent="0.3">
      <c r="A203" s="21"/>
      <c r="B203" s="24"/>
      <c r="C203" s="2" t="s">
        <v>12</v>
      </c>
      <c r="D203" s="2">
        <v>1020</v>
      </c>
      <c r="E203" s="21"/>
      <c r="F203" s="2">
        <v>0</v>
      </c>
      <c r="G203" s="21"/>
      <c r="H203" s="2">
        <v>0</v>
      </c>
      <c r="I203" s="21"/>
      <c r="J203" s="2">
        <v>0</v>
      </c>
      <c r="K203" s="21"/>
      <c r="L203" s="2">
        <v>256</v>
      </c>
      <c r="M203" s="21"/>
      <c r="N203" s="2">
        <v>350</v>
      </c>
      <c r="O203" s="21"/>
      <c r="P203" s="2">
        <v>0</v>
      </c>
      <c r="Q203" s="21"/>
      <c r="R203" s="21"/>
    </row>
    <row r="204" spans="1:18" x14ac:dyDescent="0.3">
      <c r="A204" s="21"/>
      <c r="B204" s="24">
        <v>45091</v>
      </c>
      <c r="C204" s="2" t="s">
        <v>10</v>
      </c>
      <c r="D204" s="2">
        <v>1020</v>
      </c>
      <c r="E204" s="22">
        <f>SUM(D204:D794)-SUM(E207:E794)</f>
        <v>3060</v>
      </c>
      <c r="F204" s="2">
        <v>0</v>
      </c>
      <c r="G204" s="22">
        <f>SUM(F204:F794)-SUM(G207:G794)</f>
        <v>0</v>
      </c>
      <c r="H204" s="2">
        <v>0</v>
      </c>
      <c r="I204" s="22">
        <f>SUM(H204:H794)-SUM(I207:I794)</f>
        <v>0</v>
      </c>
      <c r="J204" s="2">
        <v>0</v>
      </c>
      <c r="K204" s="22">
        <f>SUM(J204:J794)-SUM(K207:K794)</f>
        <v>0</v>
      </c>
      <c r="L204" s="2">
        <v>256</v>
      </c>
      <c r="M204" s="22">
        <f>SUM(L204:L794)-SUM(M207:M794)</f>
        <v>752</v>
      </c>
      <c r="N204" s="2">
        <v>0</v>
      </c>
      <c r="O204" s="22">
        <f>SUM(N204:N794)-SUM(O207:O794)</f>
        <v>350</v>
      </c>
      <c r="P204" s="2">
        <v>0</v>
      </c>
      <c r="Q204" s="22">
        <f>SUM(P204:P794)-SUM(Q207:Q794)</f>
        <v>0</v>
      </c>
      <c r="R204" s="21">
        <v>7</v>
      </c>
    </row>
    <row r="205" spans="1:18" x14ac:dyDescent="0.3">
      <c r="A205" s="21"/>
      <c r="B205" s="24"/>
      <c r="C205" s="2" t="s">
        <v>11</v>
      </c>
      <c r="D205" s="2">
        <v>1020</v>
      </c>
      <c r="E205" s="21"/>
      <c r="F205" s="2">
        <v>0</v>
      </c>
      <c r="G205" s="21"/>
      <c r="H205" s="2">
        <v>0</v>
      </c>
      <c r="I205" s="21"/>
      <c r="J205" s="2">
        <v>0</v>
      </c>
      <c r="K205" s="21"/>
      <c r="L205" s="2">
        <v>256</v>
      </c>
      <c r="M205" s="21"/>
      <c r="N205" s="2">
        <v>0</v>
      </c>
      <c r="O205" s="21"/>
      <c r="P205" s="2">
        <v>0</v>
      </c>
      <c r="Q205" s="21"/>
      <c r="R205" s="21"/>
    </row>
    <row r="206" spans="1:18" x14ac:dyDescent="0.3">
      <c r="A206" s="21"/>
      <c r="B206" s="24"/>
      <c r="C206" s="2" t="s">
        <v>12</v>
      </c>
      <c r="D206" s="2">
        <v>1020</v>
      </c>
      <c r="E206" s="21"/>
      <c r="F206" s="2">
        <v>0</v>
      </c>
      <c r="G206" s="21"/>
      <c r="H206" s="2">
        <v>0</v>
      </c>
      <c r="I206" s="21"/>
      <c r="J206" s="2">
        <v>0</v>
      </c>
      <c r="K206" s="21"/>
      <c r="L206" s="2">
        <v>240</v>
      </c>
      <c r="M206" s="21"/>
      <c r="N206" s="2">
        <v>350</v>
      </c>
      <c r="O206" s="21"/>
      <c r="P206" s="2">
        <v>0</v>
      </c>
      <c r="Q206" s="21"/>
      <c r="R206" s="21"/>
    </row>
    <row r="207" spans="1:18" x14ac:dyDescent="0.3">
      <c r="A207" s="21"/>
      <c r="B207" s="24">
        <v>45092</v>
      </c>
      <c r="C207" s="2" t="s">
        <v>10</v>
      </c>
      <c r="D207" s="2">
        <v>1020</v>
      </c>
      <c r="E207" s="22">
        <f>SUM(D207:D797)-SUM(E210:E797)</f>
        <v>3060</v>
      </c>
      <c r="F207" s="2">
        <v>0</v>
      </c>
      <c r="G207" s="22">
        <f>SUM(F207:F797)-SUM(G210:G797)</f>
        <v>0</v>
      </c>
      <c r="H207" s="2">
        <v>0</v>
      </c>
      <c r="I207" s="22">
        <f>SUM(H207:H797)-SUM(I210:I797)</f>
        <v>0</v>
      </c>
      <c r="J207" s="2">
        <v>0</v>
      </c>
      <c r="K207" s="22">
        <f>SUM(J207:J797)-SUM(K210:K797)</f>
        <v>0</v>
      </c>
      <c r="L207" s="2">
        <v>240</v>
      </c>
      <c r="M207" s="22">
        <f>SUM(L207:L797)-SUM(M210:M797)</f>
        <v>720</v>
      </c>
      <c r="N207" s="2">
        <v>0</v>
      </c>
      <c r="O207" s="22">
        <f>SUM(N207:N797)-SUM(O210:O797)</f>
        <v>50</v>
      </c>
      <c r="P207" s="2">
        <v>0</v>
      </c>
      <c r="Q207" s="22">
        <f>SUM(P207:P797)-SUM(Q210:Q797)</f>
        <v>0</v>
      </c>
      <c r="R207" s="21">
        <v>7</v>
      </c>
    </row>
    <row r="208" spans="1:18" x14ac:dyDescent="0.3">
      <c r="A208" s="21"/>
      <c r="B208" s="24"/>
      <c r="C208" s="2" t="s">
        <v>11</v>
      </c>
      <c r="D208" s="2">
        <v>1020</v>
      </c>
      <c r="E208" s="21"/>
      <c r="F208" s="2">
        <v>0</v>
      </c>
      <c r="G208" s="21"/>
      <c r="H208" s="2">
        <v>0</v>
      </c>
      <c r="I208" s="21"/>
      <c r="J208" s="2">
        <v>0</v>
      </c>
      <c r="K208" s="21"/>
      <c r="L208" s="2">
        <v>240</v>
      </c>
      <c r="M208" s="21"/>
      <c r="N208" s="2">
        <v>0</v>
      </c>
      <c r="O208" s="21"/>
      <c r="P208" s="2">
        <v>0</v>
      </c>
      <c r="Q208" s="21"/>
      <c r="R208" s="21"/>
    </row>
    <row r="209" spans="1:18" x14ac:dyDescent="0.3">
      <c r="A209" s="21"/>
      <c r="B209" s="24"/>
      <c r="C209" s="2" t="s">
        <v>12</v>
      </c>
      <c r="D209" s="2">
        <v>1020</v>
      </c>
      <c r="E209" s="21"/>
      <c r="F209" s="2">
        <v>0</v>
      </c>
      <c r="G209" s="21"/>
      <c r="H209" s="2">
        <v>0</v>
      </c>
      <c r="I209" s="21"/>
      <c r="J209" s="2">
        <v>0</v>
      </c>
      <c r="K209" s="21"/>
      <c r="L209" s="2">
        <v>240</v>
      </c>
      <c r="M209" s="21"/>
      <c r="N209" s="2">
        <v>50</v>
      </c>
      <c r="O209" s="21"/>
      <c r="P209" s="2">
        <v>0</v>
      </c>
      <c r="Q209" s="21"/>
      <c r="R209" s="21"/>
    </row>
    <row r="210" spans="1:18" x14ac:dyDescent="0.3">
      <c r="A210" s="21"/>
      <c r="B210" s="24">
        <v>45093</v>
      </c>
      <c r="C210" s="2" t="s">
        <v>10</v>
      </c>
      <c r="D210" s="2">
        <v>1020</v>
      </c>
      <c r="E210" s="22">
        <f>SUM(D210:D800)-SUM(E213:E800)</f>
        <v>2580</v>
      </c>
      <c r="F210" s="2">
        <v>0</v>
      </c>
      <c r="G210" s="22">
        <f>SUM(F210:F800)-SUM(G213:G800)</f>
        <v>0</v>
      </c>
      <c r="H210" s="2">
        <v>0</v>
      </c>
      <c r="I210" s="22">
        <f>SUM(H210:H800)-SUM(I213:I800)</f>
        <v>0</v>
      </c>
      <c r="J210" s="2">
        <v>0</v>
      </c>
      <c r="K210" s="22">
        <f>SUM(J210:J800)-SUM(K213:K800)</f>
        <v>480</v>
      </c>
      <c r="L210" s="2">
        <v>240</v>
      </c>
      <c r="M210" s="22">
        <f>SUM(L210:L800)-SUM(M213:M800)</f>
        <v>704</v>
      </c>
      <c r="N210" s="2">
        <v>350</v>
      </c>
      <c r="O210" s="22">
        <f>SUM(N210:N800)-SUM(O213:O800)</f>
        <v>550</v>
      </c>
      <c r="P210" s="2">
        <v>0</v>
      </c>
      <c r="Q210" s="22">
        <f>SUM(P210:P800)-SUM(Q213:Q800)</f>
        <v>0</v>
      </c>
      <c r="R210" s="21">
        <v>7</v>
      </c>
    </row>
    <row r="211" spans="1:18" x14ac:dyDescent="0.3">
      <c r="A211" s="21"/>
      <c r="B211" s="24"/>
      <c r="C211" s="2" t="s">
        <v>11</v>
      </c>
      <c r="D211" s="2">
        <v>780</v>
      </c>
      <c r="E211" s="21"/>
      <c r="F211" s="2">
        <v>0</v>
      </c>
      <c r="G211" s="21"/>
      <c r="H211" s="2">
        <v>0</v>
      </c>
      <c r="I211" s="21"/>
      <c r="J211" s="2">
        <v>240</v>
      </c>
      <c r="K211" s="21"/>
      <c r="L211" s="2">
        <v>240</v>
      </c>
      <c r="M211" s="21"/>
      <c r="N211" s="2">
        <v>0</v>
      </c>
      <c r="O211" s="21"/>
      <c r="P211" s="2">
        <v>0</v>
      </c>
      <c r="Q211" s="21"/>
      <c r="R211" s="21"/>
    </row>
    <row r="212" spans="1:18" x14ac:dyDescent="0.3">
      <c r="A212" s="21"/>
      <c r="B212" s="24"/>
      <c r="C212" s="2" t="s">
        <v>12</v>
      </c>
      <c r="D212" s="2">
        <v>780</v>
      </c>
      <c r="E212" s="21"/>
      <c r="F212" s="2">
        <v>0</v>
      </c>
      <c r="G212" s="21"/>
      <c r="H212" s="2">
        <v>0</v>
      </c>
      <c r="I212" s="21"/>
      <c r="J212" s="2">
        <v>240</v>
      </c>
      <c r="K212" s="21"/>
      <c r="L212" s="2">
        <v>224</v>
      </c>
      <c r="M212" s="21"/>
      <c r="N212" s="2">
        <v>200</v>
      </c>
      <c r="O212" s="21"/>
      <c r="P212" s="2">
        <v>0</v>
      </c>
      <c r="Q212" s="21"/>
      <c r="R212" s="21"/>
    </row>
    <row r="213" spans="1:18" x14ac:dyDescent="0.3">
      <c r="A213" s="21"/>
      <c r="B213" s="24">
        <v>45094</v>
      </c>
      <c r="C213" s="2" t="s">
        <v>10</v>
      </c>
      <c r="D213" s="2">
        <v>780</v>
      </c>
      <c r="E213" s="22">
        <f>SUM(D213:D803)-SUM(E216:E803)</f>
        <v>2340</v>
      </c>
      <c r="F213" s="2">
        <v>0</v>
      </c>
      <c r="G213" s="22">
        <f>SUM(F213:F803)-SUM(G216:G803)</f>
        <v>0</v>
      </c>
      <c r="H213" s="2">
        <v>0</v>
      </c>
      <c r="I213" s="22">
        <f>SUM(H213:H803)-SUM(I216:I803)</f>
        <v>0</v>
      </c>
      <c r="J213" s="2">
        <v>240</v>
      </c>
      <c r="K213" s="22">
        <f>SUM(J213:J803)-SUM(K216:K803)</f>
        <v>768</v>
      </c>
      <c r="L213" s="2">
        <v>240</v>
      </c>
      <c r="M213" s="22">
        <f>SUM(L213:L803)-SUM(M216:M803)</f>
        <v>710</v>
      </c>
      <c r="N213" s="2">
        <v>200</v>
      </c>
      <c r="O213" s="22">
        <f>SUM(N213:N803)-SUM(O216:O803)</f>
        <v>400</v>
      </c>
      <c r="P213" s="2">
        <v>0</v>
      </c>
      <c r="Q213" s="22">
        <f>SUM(P213:P803)-SUM(Q216:Q803)</f>
        <v>0</v>
      </c>
      <c r="R213" s="21">
        <v>7</v>
      </c>
    </row>
    <row r="214" spans="1:18" x14ac:dyDescent="0.3">
      <c r="A214" s="21"/>
      <c r="B214" s="24"/>
      <c r="C214" s="2" t="s">
        <v>11</v>
      </c>
      <c r="D214" s="2">
        <v>780</v>
      </c>
      <c r="E214" s="21"/>
      <c r="F214" s="2">
        <v>0</v>
      </c>
      <c r="G214" s="21"/>
      <c r="H214" s="2">
        <v>0</v>
      </c>
      <c r="I214" s="21"/>
      <c r="J214" s="2">
        <v>240</v>
      </c>
      <c r="K214" s="21"/>
      <c r="L214" s="2">
        <v>240</v>
      </c>
      <c r="M214" s="21"/>
      <c r="N214" s="2">
        <v>0</v>
      </c>
      <c r="O214" s="21"/>
      <c r="P214" s="2">
        <v>0</v>
      </c>
      <c r="Q214" s="21"/>
      <c r="R214" s="21"/>
    </row>
    <row r="215" spans="1:18" x14ac:dyDescent="0.3">
      <c r="A215" s="21"/>
      <c r="B215" s="24"/>
      <c r="C215" s="2" t="s">
        <v>12</v>
      </c>
      <c r="D215" s="2">
        <v>780</v>
      </c>
      <c r="E215" s="21"/>
      <c r="F215" s="2">
        <v>0</v>
      </c>
      <c r="G215" s="21"/>
      <c r="H215" s="2">
        <v>0</v>
      </c>
      <c r="I215" s="21"/>
      <c r="J215" s="2">
        <v>288</v>
      </c>
      <c r="K215" s="21"/>
      <c r="L215" s="2">
        <v>230</v>
      </c>
      <c r="M215" s="21"/>
      <c r="N215" s="2">
        <v>200</v>
      </c>
      <c r="O215" s="21"/>
      <c r="P215" s="2">
        <v>0</v>
      </c>
      <c r="Q215" s="21"/>
      <c r="R215" s="21"/>
    </row>
    <row r="216" spans="1:18" x14ac:dyDescent="0.3">
      <c r="A216" s="21"/>
      <c r="B216" s="24">
        <v>45095</v>
      </c>
      <c r="C216" s="2" t="s">
        <v>10</v>
      </c>
      <c r="D216" s="2">
        <v>780</v>
      </c>
      <c r="E216" s="22">
        <f>SUM(D216:D806)-SUM(E219:E806)</f>
        <v>2180</v>
      </c>
      <c r="F216" s="2">
        <v>0</v>
      </c>
      <c r="G216" s="22">
        <f>SUM(F216:F806)-SUM(G219:G806)</f>
        <v>0</v>
      </c>
      <c r="H216" s="2">
        <v>0</v>
      </c>
      <c r="I216" s="22">
        <f>SUM(H216:H806)-SUM(I219:I806)</f>
        <v>50</v>
      </c>
      <c r="J216" s="2">
        <v>288</v>
      </c>
      <c r="K216" s="22">
        <f>SUM(J216:J806)-SUM(K219:K806)</f>
        <v>864</v>
      </c>
      <c r="L216" s="2">
        <v>256</v>
      </c>
      <c r="M216" s="22">
        <f>SUM(L216:L806)-SUM(M219:M806)</f>
        <v>752</v>
      </c>
      <c r="N216" s="2">
        <v>200</v>
      </c>
      <c r="O216" s="22">
        <f>SUM(N216:N806)-SUM(O219:O806)</f>
        <v>750</v>
      </c>
      <c r="P216" s="2">
        <v>0</v>
      </c>
      <c r="Q216" s="22">
        <f>SUM(P216:P806)-SUM(Q219:Q806)</f>
        <v>0</v>
      </c>
      <c r="R216" s="21">
        <v>7.5</v>
      </c>
    </row>
    <row r="217" spans="1:18" x14ac:dyDescent="0.3">
      <c r="A217" s="21"/>
      <c r="B217" s="24"/>
      <c r="C217" s="2" t="s">
        <v>11</v>
      </c>
      <c r="D217" s="2">
        <v>780</v>
      </c>
      <c r="E217" s="21"/>
      <c r="F217" s="2">
        <v>0</v>
      </c>
      <c r="G217" s="21"/>
      <c r="H217" s="2">
        <v>0</v>
      </c>
      <c r="I217" s="21"/>
      <c r="J217" s="2">
        <v>288</v>
      </c>
      <c r="K217" s="21"/>
      <c r="L217" s="2">
        <v>256</v>
      </c>
      <c r="M217" s="21"/>
      <c r="N217" s="2">
        <v>200</v>
      </c>
      <c r="O217" s="21"/>
      <c r="P217" s="2">
        <v>0</v>
      </c>
      <c r="Q217" s="21"/>
      <c r="R217" s="21"/>
    </row>
    <row r="218" spans="1:18" x14ac:dyDescent="0.3">
      <c r="A218" s="21"/>
      <c r="B218" s="24"/>
      <c r="C218" s="2" t="s">
        <v>12</v>
      </c>
      <c r="D218" s="2">
        <v>620</v>
      </c>
      <c r="E218" s="21"/>
      <c r="F218" s="2">
        <v>0</v>
      </c>
      <c r="G218" s="21"/>
      <c r="H218" s="2">
        <v>50</v>
      </c>
      <c r="I218" s="21"/>
      <c r="J218" s="2">
        <v>288</v>
      </c>
      <c r="K218" s="21"/>
      <c r="L218" s="2">
        <v>240</v>
      </c>
      <c r="M218" s="21"/>
      <c r="N218" s="2">
        <v>350</v>
      </c>
      <c r="O218" s="21"/>
      <c r="P218" s="2">
        <v>0</v>
      </c>
      <c r="Q218" s="21"/>
      <c r="R218" s="21"/>
    </row>
    <row r="219" spans="1:18" x14ac:dyDescent="0.3">
      <c r="A219" s="21"/>
      <c r="B219" s="24">
        <v>45096</v>
      </c>
      <c r="C219" s="2" t="s">
        <v>10</v>
      </c>
      <c r="D219" s="2">
        <v>620</v>
      </c>
      <c r="E219" s="22">
        <f>SUM(D219:D809)-SUM(E222:E809)</f>
        <v>1860</v>
      </c>
      <c r="F219" s="2">
        <v>0</v>
      </c>
      <c r="G219" s="22">
        <f>SUM(F219:F809)-SUM(G222:G809)</f>
        <v>0</v>
      </c>
      <c r="H219" s="2">
        <v>100</v>
      </c>
      <c r="I219" s="22">
        <f>SUM(H219:H809)-SUM(I222:I809)</f>
        <v>300</v>
      </c>
      <c r="J219" s="2">
        <v>240</v>
      </c>
      <c r="K219" s="22">
        <f>SUM(J219:J809)-SUM(K222:K809)</f>
        <v>720</v>
      </c>
      <c r="L219" s="2">
        <v>240</v>
      </c>
      <c r="M219" s="22">
        <f>SUM(L219:L809)-SUM(M222:M809)</f>
        <v>720</v>
      </c>
      <c r="N219" s="2">
        <v>0</v>
      </c>
      <c r="O219" s="22">
        <f>SUM(N219:N809)-SUM(O222:O809)</f>
        <v>700</v>
      </c>
      <c r="P219" s="2">
        <v>0</v>
      </c>
      <c r="Q219" s="22">
        <f>SUM(P219:P809)-SUM(Q222:Q809)</f>
        <v>0</v>
      </c>
      <c r="R219" s="21">
        <v>7</v>
      </c>
    </row>
    <row r="220" spans="1:18" x14ac:dyDescent="0.3">
      <c r="A220" s="21"/>
      <c r="B220" s="24"/>
      <c r="C220" s="2" t="s">
        <v>11</v>
      </c>
      <c r="D220" s="2">
        <v>620</v>
      </c>
      <c r="E220" s="21"/>
      <c r="F220" s="2">
        <v>0</v>
      </c>
      <c r="G220" s="21"/>
      <c r="H220" s="2">
        <v>100</v>
      </c>
      <c r="I220" s="21"/>
      <c r="J220" s="2">
        <v>240</v>
      </c>
      <c r="K220" s="21"/>
      <c r="L220" s="2">
        <v>240</v>
      </c>
      <c r="M220" s="21"/>
      <c r="N220" s="2">
        <v>350</v>
      </c>
      <c r="O220" s="21"/>
      <c r="P220" s="2">
        <v>0</v>
      </c>
      <c r="Q220" s="21"/>
      <c r="R220" s="21"/>
    </row>
    <row r="221" spans="1:18" x14ac:dyDescent="0.3">
      <c r="A221" s="21"/>
      <c r="B221" s="24"/>
      <c r="C221" s="2" t="s">
        <v>12</v>
      </c>
      <c r="D221" s="2">
        <v>620</v>
      </c>
      <c r="E221" s="21"/>
      <c r="F221" s="2">
        <v>0</v>
      </c>
      <c r="G221" s="21"/>
      <c r="H221" s="2">
        <v>100</v>
      </c>
      <c r="I221" s="21"/>
      <c r="J221" s="2">
        <v>240</v>
      </c>
      <c r="K221" s="21"/>
      <c r="L221" s="2">
        <v>240</v>
      </c>
      <c r="M221" s="21"/>
      <c r="N221" s="2">
        <v>350</v>
      </c>
      <c r="O221" s="21"/>
      <c r="P221" s="2">
        <v>0</v>
      </c>
      <c r="Q221" s="21"/>
      <c r="R221" s="21"/>
    </row>
    <row r="222" spans="1:18" x14ac:dyDescent="0.3">
      <c r="A222" s="21"/>
      <c r="B222" s="24">
        <v>45097</v>
      </c>
      <c r="C222" s="2" t="s">
        <v>10</v>
      </c>
      <c r="D222" s="2">
        <v>720</v>
      </c>
      <c r="E222" s="22">
        <f>SUM(D222:D812)-SUM(E225:E812)</f>
        <v>2280</v>
      </c>
      <c r="F222" s="2">
        <v>0</v>
      </c>
      <c r="G222" s="22">
        <f>SUM(F222:F812)-SUM(G225:G812)</f>
        <v>0</v>
      </c>
      <c r="H222" s="2">
        <v>50</v>
      </c>
      <c r="I222" s="22">
        <f>SUM(H222:H812)-SUM(I225:I812)</f>
        <v>50</v>
      </c>
      <c r="J222" s="2">
        <v>240</v>
      </c>
      <c r="K222" s="22">
        <f>SUM(J222:J812)-SUM(K225:K812)</f>
        <v>720</v>
      </c>
      <c r="L222" s="2">
        <v>248</v>
      </c>
      <c r="M222" s="22">
        <f>SUM(L222:L812)-SUM(M225:M812)</f>
        <v>760</v>
      </c>
      <c r="N222" s="2">
        <v>300</v>
      </c>
      <c r="O222" s="22">
        <f>SUM(N222:N812)-SUM(O225:O812)</f>
        <v>950</v>
      </c>
      <c r="P222" s="2">
        <v>175</v>
      </c>
      <c r="Q222" s="22">
        <f>SUM(P222:P812)-SUM(Q225:Q812)</f>
        <v>175</v>
      </c>
      <c r="R222" s="21">
        <v>7</v>
      </c>
    </row>
    <row r="223" spans="1:18" x14ac:dyDescent="0.3">
      <c r="A223" s="21"/>
      <c r="B223" s="24"/>
      <c r="C223" s="2" t="s">
        <v>11</v>
      </c>
      <c r="D223" s="2">
        <v>780</v>
      </c>
      <c r="E223" s="21"/>
      <c r="F223" s="2">
        <v>0</v>
      </c>
      <c r="G223" s="21"/>
      <c r="H223" s="2">
        <v>0</v>
      </c>
      <c r="I223" s="21"/>
      <c r="J223" s="2">
        <v>240</v>
      </c>
      <c r="K223" s="21"/>
      <c r="L223" s="2">
        <v>256</v>
      </c>
      <c r="M223" s="21"/>
      <c r="N223" s="2">
        <v>300</v>
      </c>
      <c r="O223" s="21"/>
      <c r="P223" s="2">
        <v>0</v>
      </c>
      <c r="Q223" s="21"/>
      <c r="R223" s="21"/>
    </row>
    <row r="224" spans="1:18" x14ac:dyDescent="0.3">
      <c r="A224" s="21"/>
      <c r="B224" s="24"/>
      <c r="C224" s="2" t="s">
        <v>12</v>
      </c>
      <c r="D224" s="2">
        <v>780</v>
      </c>
      <c r="E224" s="21"/>
      <c r="F224" s="2">
        <v>0</v>
      </c>
      <c r="G224" s="21"/>
      <c r="H224" s="2">
        <v>0</v>
      </c>
      <c r="I224" s="21"/>
      <c r="J224" s="2">
        <v>240</v>
      </c>
      <c r="K224" s="21"/>
      <c r="L224" s="2">
        <v>256</v>
      </c>
      <c r="M224" s="21"/>
      <c r="N224" s="2">
        <v>350</v>
      </c>
      <c r="O224" s="21"/>
      <c r="P224" s="2">
        <v>0</v>
      </c>
      <c r="Q224" s="21"/>
      <c r="R224" s="21"/>
    </row>
    <row r="225" spans="1:18" x14ac:dyDescent="0.3">
      <c r="A225" s="21"/>
      <c r="B225" s="24">
        <v>45098</v>
      </c>
      <c r="C225" s="2" t="s">
        <v>10</v>
      </c>
      <c r="D225" s="2">
        <v>780</v>
      </c>
      <c r="E225" s="22">
        <f>SUM(D225:D815)-SUM(E228:E815)</f>
        <v>2340</v>
      </c>
      <c r="F225" s="2">
        <v>0</v>
      </c>
      <c r="G225" s="22">
        <f>SUM(F225:F815)-SUM(G228:G815)</f>
        <v>0</v>
      </c>
      <c r="H225" s="2">
        <v>0</v>
      </c>
      <c r="I225" s="22">
        <f>SUM(H225:H815)-SUM(I228:I815)</f>
        <v>0</v>
      </c>
      <c r="J225" s="2">
        <v>240</v>
      </c>
      <c r="K225" s="22">
        <f>SUM(J225:J815)-SUM(K228:K815)</f>
        <v>720</v>
      </c>
      <c r="L225" s="2">
        <v>220</v>
      </c>
      <c r="M225" s="22">
        <f>SUM(L225:L815)-SUM(M228:M815)</f>
        <v>700</v>
      </c>
      <c r="N225" s="2">
        <v>350</v>
      </c>
      <c r="O225" s="22">
        <f>SUM(N225:N815)-SUM(O228:O815)</f>
        <v>1050</v>
      </c>
      <c r="P225" s="2">
        <v>0</v>
      </c>
      <c r="Q225" s="22">
        <f>SUM(P225:P815)-SUM(Q228:Q815)</f>
        <v>35</v>
      </c>
      <c r="R225" s="21">
        <v>6</v>
      </c>
    </row>
    <row r="226" spans="1:18" x14ac:dyDescent="0.3">
      <c r="A226" s="21"/>
      <c r="B226" s="24"/>
      <c r="C226" s="2" t="s">
        <v>11</v>
      </c>
      <c r="D226" s="2">
        <v>780</v>
      </c>
      <c r="E226" s="21"/>
      <c r="F226" s="2">
        <v>0</v>
      </c>
      <c r="G226" s="21"/>
      <c r="H226" s="2">
        <v>0</v>
      </c>
      <c r="I226" s="21"/>
      <c r="J226" s="2">
        <v>240</v>
      </c>
      <c r="K226" s="21"/>
      <c r="L226" s="2">
        <v>240</v>
      </c>
      <c r="M226" s="21"/>
      <c r="N226" s="2">
        <v>350</v>
      </c>
      <c r="O226" s="21"/>
      <c r="P226" s="2">
        <v>35</v>
      </c>
      <c r="Q226" s="21"/>
      <c r="R226" s="21"/>
    </row>
    <row r="227" spans="1:18" x14ac:dyDescent="0.3">
      <c r="A227" s="21"/>
      <c r="B227" s="24"/>
      <c r="C227" s="2" t="s">
        <v>12</v>
      </c>
      <c r="D227" s="2">
        <v>780</v>
      </c>
      <c r="E227" s="21"/>
      <c r="F227" s="2">
        <v>0</v>
      </c>
      <c r="G227" s="21"/>
      <c r="H227" s="2">
        <v>0</v>
      </c>
      <c r="I227" s="21"/>
      <c r="J227" s="2">
        <v>240</v>
      </c>
      <c r="K227" s="21"/>
      <c r="L227" s="2">
        <v>240</v>
      </c>
      <c r="M227" s="21"/>
      <c r="N227" s="2">
        <v>350</v>
      </c>
      <c r="O227" s="21"/>
      <c r="P227" s="2">
        <v>0</v>
      </c>
      <c r="Q227" s="21"/>
      <c r="R227" s="21"/>
    </row>
    <row r="228" spans="1:18" x14ac:dyDescent="0.3">
      <c r="A228" s="21"/>
      <c r="B228" s="24">
        <v>45099</v>
      </c>
      <c r="C228" s="2" t="s">
        <v>10</v>
      </c>
      <c r="D228" s="2">
        <v>780</v>
      </c>
      <c r="E228" s="22">
        <f>SUM(D228:D818)-SUM(E231:E818)</f>
        <v>2340</v>
      </c>
      <c r="F228" s="2">
        <v>0</v>
      </c>
      <c r="G228" s="22">
        <f>SUM(F228:F818)-SUM(G231:G818)</f>
        <v>0</v>
      </c>
      <c r="H228" s="2">
        <v>0</v>
      </c>
      <c r="I228" s="22">
        <f>SUM(H228:H818)-SUM(I231:I818)</f>
        <v>0</v>
      </c>
      <c r="J228" s="2">
        <v>240</v>
      </c>
      <c r="K228" s="22">
        <f>SUM(J228:J818)-SUM(K231:K818)</f>
        <v>720</v>
      </c>
      <c r="L228" s="2">
        <v>240</v>
      </c>
      <c r="M228" s="22">
        <f>SUM(L228:L818)-SUM(M231:M818)</f>
        <v>720</v>
      </c>
      <c r="N228" s="2">
        <v>450</v>
      </c>
      <c r="O228" s="22">
        <f>SUM(N228:N818)-SUM(O231:O818)</f>
        <v>1250</v>
      </c>
      <c r="P228" s="2">
        <v>0</v>
      </c>
      <c r="Q228" s="22">
        <f>SUM(P228:P818)-SUM(Q231:Q818)</f>
        <v>0</v>
      </c>
      <c r="R228" s="21">
        <v>7</v>
      </c>
    </row>
    <row r="229" spans="1:18" x14ac:dyDescent="0.3">
      <c r="A229" s="21"/>
      <c r="B229" s="24"/>
      <c r="C229" s="2" t="s">
        <v>11</v>
      </c>
      <c r="D229" s="2">
        <v>780</v>
      </c>
      <c r="E229" s="21"/>
      <c r="F229" s="2">
        <v>0</v>
      </c>
      <c r="G229" s="21"/>
      <c r="H229" s="2">
        <v>0</v>
      </c>
      <c r="I229" s="21"/>
      <c r="J229" s="2">
        <v>240</v>
      </c>
      <c r="K229" s="21"/>
      <c r="L229" s="2">
        <v>240</v>
      </c>
      <c r="M229" s="21"/>
      <c r="N229" s="2">
        <v>400</v>
      </c>
      <c r="O229" s="21"/>
      <c r="P229" s="2">
        <v>0</v>
      </c>
      <c r="Q229" s="21"/>
      <c r="R229" s="21"/>
    </row>
    <row r="230" spans="1:18" x14ac:dyDescent="0.3">
      <c r="A230" s="21"/>
      <c r="B230" s="24"/>
      <c r="C230" s="2" t="s">
        <v>12</v>
      </c>
      <c r="D230" s="2">
        <v>780</v>
      </c>
      <c r="E230" s="21"/>
      <c r="F230" s="2">
        <v>0</v>
      </c>
      <c r="G230" s="21"/>
      <c r="H230" s="2">
        <v>0</v>
      </c>
      <c r="I230" s="21"/>
      <c r="J230" s="2">
        <v>240</v>
      </c>
      <c r="K230" s="21"/>
      <c r="L230" s="2">
        <v>240</v>
      </c>
      <c r="M230" s="21"/>
      <c r="N230" s="2">
        <v>400</v>
      </c>
      <c r="O230" s="21"/>
      <c r="P230" s="2">
        <v>0</v>
      </c>
      <c r="Q230" s="21"/>
      <c r="R230" s="21"/>
    </row>
    <row r="231" spans="1:18" x14ac:dyDescent="0.3">
      <c r="A231" s="21"/>
      <c r="B231" s="24">
        <v>45100</v>
      </c>
      <c r="C231" s="2" t="s">
        <v>10</v>
      </c>
      <c r="D231" s="2">
        <v>780</v>
      </c>
      <c r="E231" s="22">
        <f>SUM(D231:D821)-SUM(E234:E821)</f>
        <v>2340</v>
      </c>
      <c r="F231" s="2">
        <v>0</v>
      </c>
      <c r="G231" s="22">
        <f>SUM(F231:F821)-SUM(G234:G821)</f>
        <v>0</v>
      </c>
      <c r="H231" s="2">
        <v>0</v>
      </c>
      <c r="I231" s="22">
        <f>SUM(H231:H821)-SUM(I234:I821)</f>
        <v>0</v>
      </c>
      <c r="J231" s="2">
        <v>240</v>
      </c>
      <c r="K231" s="22">
        <f>SUM(J231:J821)-SUM(K234:K821)</f>
        <v>720</v>
      </c>
      <c r="L231" s="2">
        <v>264</v>
      </c>
      <c r="M231" s="22">
        <f>SUM(L231:L821)-SUM(M234:M821)</f>
        <v>792</v>
      </c>
      <c r="N231" s="2">
        <v>400</v>
      </c>
      <c r="O231" s="22">
        <f>SUM(N231:N821)-SUM(O234:O821)</f>
        <v>1050</v>
      </c>
      <c r="P231" s="2">
        <v>0</v>
      </c>
      <c r="Q231" s="22">
        <f>SUM(P231:P821)-SUM(Q234:Q821)</f>
        <v>0</v>
      </c>
      <c r="R231" s="21">
        <v>6</v>
      </c>
    </row>
    <row r="232" spans="1:18" x14ac:dyDescent="0.3">
      <c r="A232" s="21"/>
      <c r="B232" s="24"/>
      <c r="C232" s="2" t="s">
        <v>11</v>
      </c>
      <c r="D232" s="2">
        <v>780</v>
      </c>
      <c r="E232" s="21"/>
      <c r="F232" s="2">
        <v>0</v>
      </c>
      <c r="G232" s="21"/>
      <c r="H232" s="2">
        <v>0</v>
      </c>
      <c r="I232" s="21"/>
      <c r="J232" s="2">
        <v>240</v>
      </c>
      <c r="K232" s="21"/>
      <c r="L232" s="2">
        <v>264</v>
      </c>
      <c r="M232" s="21"/>
      <c r="N232" s="2">
        <v>350</v>
      </c>
      <c r="O232" s="21"/>
      <c r="P232" s="2">
        <v>0</v>
      </c>
      <c r="Q232" s="21"/>
      <c r="R232" s="21"/>
    </row>
    <row r="233" spans="1:18" x14ac:dyDescent="0.3">
      <c r="A233" s="21"/>
      <c r="B233" s="24"/>
      <c r="C233" s="2" t="s">
        <v>12</v>
      </c>
      <c r="D233" s="2">
        <v>780</v>
      </c>
      <c r="E233" s="21"/>
      <c r="F233" s="2">
        <v>0</v>
      </c>
      <c r="G233" s="21"/>
      <c r="H233" s="2">
        <v>0</v>
      </c>
      <c r="I233" s="21"/>
      <c r="J233" s="2">
        <v>240</v>
      </c>
      <c r="K233" s="21"/>
      <c r="L233" s="2">
        <v>264</v>
      </c>
      <c r="M233" s="21"/>
      <c r="N233" s="2">
        <v>300</v>
      </c>
      <c r="O233" s="21"/>
      <c r="P233" s="2">
        <v>0</v>
      </c>
      <c r="Q233" s="21"/>
      <c r="R233" s="21"/>
    </row>
    <row r="234" spans="1:18" x14ac:dyDescent="0.3">
      <c r="A234" s="21"/>
      <c r="B234" s="24">
        <v>45101</v>
      </c>
      <c r="C234" s="2" t="s">
        <v>10</v>
      </c>
      <c r="D234" s="2">
        <v>280</v>
      </c>
      <c r="E234" s="22">
        <f>SUM(D234:D824)-SUM(E237:E824)</f>
        <v>1620</v>
      </c>
      <c r="F234" s="2">
        <v>0</v>
      </c>
      <c r="G234" s="22">
        <f>SUM(F234:F824)-SUM(G237:G824)</f>
        <v>0</v>
      </c>
      <c r="H234" s="2">
        <v>0</v>
      </c>
      <c r="I234" s="22">
        <f>SUM(H234:H824)-SUM(I237:I824)</f>
        <v>0</v>
      </c>
      <c r="J234" s="2">
        <v>240</v>
      </c>
      <c r="K234" s="22">
        <f>SUM(J234:J824)-SUM(K237:K824)</f>
        <v>912</v>
      </c>
      <c r="L234" s="2">
        <v>256</v>
      </c>
      <c r="M234" s="22">
        <f>SUM(L234:L824)-SUM(M237:M824)</f>
        <v>768</v>
      </c>
      <c r="N234" s="2">
        <v>300</v>
      </c>
      <c r="O234" s="22">
        <f>SUM(N234:N824)-SUM(O237:O824)</f>
        <v>1200</v>
      </c>
      <c r="P234" s="2">
        <v>0</v>
      </c>
      <c r="Q234" s="22">
        <f>SUM(P234:P824)-SUM(Q237:Q824)</f>
        <v>0</v>
      </c>
      <c r="R234" s="21">
        <v>7.5</v>
      </c>
    </row>
    <row r="235" spans="1:18" x14ac:dyDescent="0.3">
      <c r="A235" s="21"/>
      <c r="B235" s="24"/>
      <c r="C235" s="2" t="s">
        <v>11</v>
      </c>
      <c r="D235" s="2">
        <v>620</v>
      </c>
      <c r="E235" s="21"/>
      <c r="F235" s="2">
        <v>0</v>
      </c>
      <c r="G235" s="21"/>
      <c r="H235" s="2">
        <v>0</v>
      </c>
      <c r="I235" s="21"/>
      <c r="J235" s="2">
        <v>336</v>
      </c>
      <c r="K235" s="21"/>
      <c r="L235" s="2">
        <v>256</v>
      </c>
      <c r="M235" s="21"/>
      <c r="N235" s="2">
        <v>450</v>
      </c>
      <c r="O235" s="21"/>
      <c r="P235" s="2">
        <v>0</v>
      </c>
      <c r="Q235" s="21"/>
      <c r="R235" s="21"/>
    </row>
    <row r="236" spans="1:18" x14ac:dyDescent="0.3">
      <c r="A236" s="21"/>
      <c r="B236" s="24"/>
      <c r="C236" s="2" t="s">
        <v>12</v>
      </c>
      <c r="D236" s="2">
        <v>720</v>
      </c>
      <c r="E236" s="21"/>
      <c r="F236" s="2">
        <v>0</v>
      </c>
      <c r="G236" s="21"/>
      <c r="H236" s="2">
        <v>0</v>
      </c>
      <c r="I236" s="21"/>
      <c r="J236" s="2">
        <v>336</v>
      </c>
      <c r="K236" s="21"/>
      <c r="L236" s="2">
        <v>256</v>
      </c>
      <c r="M236" s="21"/>
      <c r="N236" s="2">
        <v>450</v>
      </c>
      <c r="O236" s="21"/>
      <c r="P236" s="2">
        <v>0</v>
      </c>
      <c r="Q236" s="21"/>
      <c r="R236" s="21"/>
    </row>
    <row r="237" spans="1:18" x14ac:dyDescent="0.3">
      <c r="A237" s="21"/>
      <c r="B237" s="24">
        <v>45102</v>
      </c>
      <c r="C237" s="2" t="s">
        <v>10</v>
      </c>
      <c r="D237" s="2">
        <v>690</v>
      </c>
      <c r="E237" s="22">
        <f>SUM(D237:D827)-SUM(E240:E827)</f>
        <v>2070</v>
      </c>
      <c r="F237" s="2">
        <v>0</v>
      </c>
      <c r="G237" s="22">
        <f>SUM(F237:F827)-SUM(G240:G827)</f>
        <v>0</v>
      </c>
      <c r="H237" s="2">
        <v>0</v>
      </c>
      <c r="I237" s="22">
        <f>SUM(H237:H827)-SUM(I240:I827)</f>
        <v>0</v>
      </c>
      <c r="J237" s="2">
        <v>432</v>
      </c>
      <c r="K237" s="22">
        <f>SUM(J237:J827)-SUM(K240:K827)</f>
        <v>1400</v>
      </c>
      <c r="L237" s="2">
        <v>256</v>
      </c>
      <c r="M237" s="22">
        <f>SUM(L237:L827)-SUM(M240:M827)</f>
        <v>768</v>
      </c>
      <c r="N237" s="2">
        <v>300</v>
      </c>
      <c r="O237" s="22">
        <f>SUM(N237:N827)-SUM(O240:O827)</f>
        <v>900</v>
      </c>
      <c r="P237" s="2">
        <v>0</v>
      </c>
      <c r="Q237" s="22">
        <f>SUM(P237:P827)-SUM(Q240:Q827)</f>
        <v>0</v>
      </c>
      <c r="R237" s="21">
        <v>7</v>
      </c>
    </row>
    <row r="238" spans="1:18" x14ac:dyDescent="0.3">
      <c r="A238" s="21"/>
      <c r="B238" s="24"/>
      <c r="C238" s="2" t="s">
        <v>11</v>
      </c>
      <c r="D238" s="2">
        <v>690</v>
      </c>
      <c r="E238" s="21"/>
      <c r="F238" s="2">
        <v>0</v>
      </c>
      <c r="G238" s="21"/>
      <c r="H238" s="2">
        <v>0</v>
      </c>
      <c r="I238" s="21"/>
      <c r="J238" s="2">
        <v>584</v>
      </c>
      <c r="K238" s="21"/>
      <c r="L238" s="2">
        <v>256</v>
      </c>
      <c r="M238" s="21"/>
      <c r="N238" s="2">
        <v>300</v>
      </c>
      <c r="O238" s="21"/>
      <c r="P238" s="2">
        <v>0</v>
      </c>
      <c r="Q238" s="21"/>
      <c r="R238" s="21"/>
    </row>
    <row r="239" spans="1:18" x14ac:dyDescent="0.3">
      <c r="A239" s="21"/>
      <c r="B239" s="24"/>
      <c r="C239" s="2" t="s">
        <v>12</v>
      </c>
      <c r="D239" s="2">
        <v>690</v>
      </c>
      <c r="E239" s="21"/>
      <c r="F239" s="2">
        <v>0</v>
      </c>
      <c r="G239" s="21"/>
      <c r="H239" s="2">
        <v>0</v>
      </c>
      <c r="I239" s="21"/>
      <c r="J239" s="2">
        <v>384</v>
      </c>
      <c r="K239" s="21"/>
      <c r="L239" s="2">
        <v>256</v>
      </c>
      <c r="M239" s="21"/>
      <c r="N239" s="2">
        <v>300</v>
      </c>
      <c r="O239" s="21"/>
      <c r="P239" s="2">
        <v>0</v>
      </c>
      <c r="Q239" s="21"/>
      <c r="R239" s="21"/>
    </row>
    <row r="240" spans="1:18" x14ac:dyDescent="0.3">
      <c r="A240" s="21"/>
      <c r="B240" s="24">
        <v>45103</v>
      </c>
      <c r="C240" s="2" t="s">
        <v>10</v>
      </c>
      <c r="D240" s="2">
        <v>620</v>
      </c>
      <c r="E240" s="22">
        <f>SUM(D240:D830)-SUM(E243:E830)</f>
        <v>1860</v>
      </c>
      <c r="F240" s="2">
        <v>0</v>
      </c>
      <c r="G240" s="22">
        <f>SUM(F240:F830)-SUM(G243:G830)</f>
        <v>0</v>
      </c>
      <c r="H240" s="2">
        <v>0</v>
      </c>
      <c r="I240" s="22">
        <f>SUM(H240:H830)-SUM(I243:I830)</f>
        <v>0</v>
      </c>
      <c r="J240" s="2">
        <v>384</v>
      </c>
      <c r="K240" s="22">
        <f>SUM(J240:J830)-SUM(K243:K830)</f>
        <v>1152</v>
      </c>
      <c r="L240" s="2">
        <v>313</v>
      </c>
      <c r="M240" s="22">
        <f>SUM(L240:L830)-SUM(M243:M830)</f>
        <v>1081</v>
      </c>
      <c r="N240" s="2">
        <v>500</v>
      </c>
      <c r="O240" s="22">
        <f>SUM(N240:N830)-SUM(O243:O830)</f>
        <v>1200</v>
      </c>
      <c r="P240" s="2">
        <v>445</v>
      </c>
      <c r="Q240" s="22">
        <f>SUM(P240:P830)-SUM(Q243:Q830)</f>
        <v>515</v>
      </c>
      <c r="R240" s="21">
        <v>7</v>
      </c>
    </row>
    <row r="241" spans="1:18" x14ac:dyDescent="0.3">
      <c r="A241" s="21"/>
      <c r="B241" s="24"/>
      <c r="C241" s="2" t="s">
        <v>11</v>
      </c>
      <c r="D241" s="2">
        <v>620</v>
      </c>
      <c r="E241" s="21"/>
      <c r="F241" s="2">
        <v>0</v>
      </c>
      <c r="G241" s="21"/>
      <c r="H241" s="2">
        <v>0</v>
      </c>
      <c r="I241" s="21"/>
      <c r="J241" s="2">
        <v>384</v>
      </c>
      <c r="K241" s="21"/>
      <c r="L241" s="2">
        <v>384</v>
      </c>
      <c r="M241" s="21"/>
      <c r="N241" s="2">
        <v>300</v>
      </c>
      <c r="O241" s="21"/>
      <c r="P241" s="2">
        <v>0</v>
      </c>
      <c r="Q241" s="21"/>
      <c r="R241" s="21"/>
    </row>
    <row r="242" spans="1:18" x14ac:dyDescent="0.3">
      <c r="A242" s="21"/>
      <c r="B242" s="24"/>
      <c r="C242" s="2" t="s">
        <v>12</v>
      </c>
      <c r="D242" s="2">
        <v>620</v>
      </c>
      <c r="E242" s="21"/>
      <c r="F242" s="2">
        <v>0</v>
      </c>
      <c r="G242" s="21"/>
      <c r="H242" s="2">
        <v>0</v>
      </c>
      <c r="I242" s="21"/>
      <c r="J242" s="2">
        <v>384</v>
      </c>
      <c r="K242" s="21"/>
      <c r="L242" s="2">
        <v>384</v>
      </c>
      <c r="M242" s="21"/>
      <c r="N242" s="2">
        <v>400</v>
      </c>
      <c r="O242" s="21"/>
      <c r="P242" s="2">
        <v>70</v>
      </c>
      <c r="Q242" s="21"/>
      <c r="R242" s="21"/>
    </row>
    <row r="243" spans="1:18" x14ac:dyDescent="0.3">
      <c r="A243" s="21"/>
      <c r="B243" s="24">
        <v>45104</v>
      </c>
      <c r="C243" s="2" t="s">
        <v>10</v>
      </c>
      <c r="D243" s="2">
        <v>960</v>
      </c>
      <c r="E243" s="22">
        <f>SUM(D243:D833)-SUM(E246:E833)</f>
        <v>2880</v>
      </c>
      <c r="F243" s="2">
        <v>0</v>
      </c>
      <c r="G243" s="22">
        <f>SUM(F243:F833)-SUM(G246:G833)</f>
        <v>0</v>
      </c>
      <c r="H243" s="2">
        <v>0</v>
      </c>
      <c r="I243" s="22">
        <f>SUM(H243:H833)-SUM(I246:I833)</f>
        <v>0</v>
      </c>
      <c r="J243" s="2">
        <v>480</v>
      </c>
      <c r="K243" s="22">
        <f>SUM(J243:J833)-SUM(K246:K833)</f>
        <v>1440</v>
      </c>
      <c r="L243" s="2">
        <v>416</v>
      </c>
      <c r="M243" s="22">
        <f>SUM(L243:L833)-SUM(M246:M833)</f>
        <v>1248</v>
      </c>
      <c r="N243" s="2">
        <v>1150</v>
      </c>
      <c r="O243" s="22">
        <f>SUM(N243:N833)-SUM(O246:O833)</f>
        <v>2250</v>
      </c>
      <c r="P243" s="2">
        <v>270</v>
      </c>
      <c r="Q243" s="22">
        <f>SUM(P243:P833)-SUM(Q246:Q833)</f>
        <v>690</v>
      </c>
      <c r="R243" s="21">
        <v>7</v>
      </c>
    </row>
    <row r="244" spans="1:18" x14ac:dyDescent="0.3">
      <c r="A244" s="21"/>
      <c r="B244" s="24"/>
      <c r="C244" s="2" t="s">
        <v>11</v>
      </c>
      <c r="D244" s="2">
        <v>960</v>
      </c>
      <c r="E244" s="21"/>
      <c r="F244" s="2">
        <v>0</v>
      </c>
      <c r="G244" s="21"/>
      <c r="H244" s="2">
        <v>0</v>
      </c>
      <c r="I244" s="21"/>
      <c r="J244" s="2">
        <v>480</v>
      </c>
      <c r="K244" s="21"/>
      <c r="L244" s="2">
        <v>416</v>
      </c>
      <c r="M244" s="21"/>
      <c r="N244" s="2">
        <v>500</v>
      </c>
      <c r="O244" s="21"/>
      <c r="P244" s="2">
        <v>210</v>
      </c>
      <c r="Q244" s="21"/>
      <c r="R244" s="21"/>
    </row>
    <row r="245" spans="1:18" x14ac:dyDescent="0.3">
      <c r="A245" s="21"/>
      <c r="B245" s="24"/>
      <c r="C245" s="2" t="s">
        <v>12</v>
      </c>
      <c r="D245" s="2">
        <v>960</v>
      </c>
      <c r="E245" s="21"/>
      <c r="F245" s="2">
        <v>0</v>
      </c>
      <c r="G245" s="21"/>
      <c r="H245" s="2">
        <v>0</v>
      </c>
      <c r="I245" s="21"/>
      <c r="J245" s="2">
        <v>480</v>
      </c>
      <c r="K245" s="21"/>
      <c r="L245" s="2">
        <v>416</v>
      </c>
      <c r="M245" s="21"/>
      <c r="N245" s="2">
        <v>600</v>
      </c>
      <c r="O245" s="21"/>
      <c r="P245" s="2">
        <v>210</v>
      </c>
      <c r="Q245" s="21"/>
      <c r="R245" s="21"/>
    </row>
    <row r="246" spans="1:18" x14ac:dyDescent="0.3">
      <c r="A246" s="21"/>
      <c r="B246" s="24">
        <v>45105</v>
      </c>
      <c r="C246" s="2" t="s">
        <v>10</v>
      </c>
      <c r="D246" s="2">
        <v>960</v>
      </c>
      <c r="E246" s="22">
        <f>SUM(D246:D836)-SUM(E249:E836)</f>
        <v>2220</v>
      </c>
      <c r="F246" s="2">
        <v>0</v>
      </c>
      <c r="G246" s="22">
        <f>SUM(F246:F836)-SUM(G249:G836)</f>
        <v>0</v>
      </c>
      <c r="H246" s="2">
        <v>0</v>
      </c>
      <c r="I246" s="22">
        <f>SUM(H246:H836)-SUM(I249:I836)</f>
        <v>950</v>
      </c>
      <c r="J246" s="2">
        <v>480</v>
      </c>
      <c r="K246" s="22">
        <f>SUM(J246:J836)-SUM(K249:K836)</f>
        <v>1488</v>
      </c>
      <c r="L246" s="2">
        <v>368</v>
      </c>
      <c r="M246" s="22">
        <f>SUM(L246:L836)-SUM(M249:M836)</f>
        <v>1212</v>
      </c>
      <c r="N246" s="2">
        <v>700</v>
      </c>
      <c r="O246" s="22">
        <f>SUM(N246:N836)-SUM(O249:O836)</f>
        <v>2700</v>
      </c>
      <c r="P246" s="2">
        <v>600</v>
      </c>
      <c r="Q246" s="22">
        <f>SUM(P246:P836)-SUM(Q249:Q836)</f>
        <v>2190</v>
      </c>
      <c r="R246" s="21">
        <v>7.2</v>
      </c>
    </row>
    <row r="247" spans="1:18" x14ac:dyDescent="0.3">
      <c r="A247" s="21"/>
      <c r="B247" s="24"/>
      <c r="C247" s="2" t="s">
        <v>11</v>
      </c>
      <c r="D247" s="2">
        <v>660</v>
      </c>
      <c r="E247" s="21"/>
      <c r="F247" s="2">
        <v>0</v>
      </c>
      <c r="G247" s="21"/>
      <c r="H247" s="2">
        <v>500</v>
      </c>
      <c r="I247" s="21"/>
      <c r="J247" s="2">
        <v>480</v>
      </c>
      <c r="K247" s="21"/>
      <c r="L247" s="2">
        <v>412</v>
      </c>
      <c r="M247" s="21"/>
      <c r="N247" s="2">
        <v>1200</v>
      </c>
      <c r="O247" s="21"/>
      <c r="P247" s="2">
        <v>1050</v>
      </c>
      <c r="Q247" s="21"/>
      <c r="R247" s="21"/>
    </row>
    <row r="248" spans="1:18" x14ac:dyDescent="0.3">
      <c r="A248" s="21"/>
      <c r="B248" s="24"/>
      <c r="C248" s="2" t="s">
        <v>12</v>
      </c>
      <c r="D248" s="2">
        <v>600</v>
      </c>
      <c r="E248" s="21"/>
      <c r="F248" s="2">
        <v>0</v>
      </c>
      <c r="G248" s="21"/>
      <c r="H248" s="2">
        <v>450</v>
      </c>
      <c r="I248" s="21"/>
      <c r="J248" s="2">
        <v>528</v>
      </c>
      <c r="K248" s="21"/>
      <c r="L248" s="2">
        <v>432</v>
      </c>
      <c r="M248" s="21"/>
      <c r="N248" s="2">
        <v>800</v>
      </c>
      <c r="O248" s="21"/>
      <c r="P248" s="2">
        <v>540</v>
      </c>
      <c r="Q248" s="21"/>
      <c r="R248" s="21"/>
    </row>
    <row r="249" spans="1:18" x14ac:dyDescent="0.3">
      <c r="A249" s="21"/>
      <c r="B249" s="24">
        <v>45106</v>
      </c>
      <c r="C249" s="2" t="s">
        <v>10</v>
      </c>
      <c r="D249" s="2">
        <v>260</v>
      </c>
      <c r="E249" s="22">
        <f>SUM(D249:D839)-SUM(E252:E839)</f>
        <v>580</v>
      </c>
      <c r="F249" s="2">
        <v>0</v>
      </c>
      <c r="G249" s="22">
        <f>SUM(F249:F839)-SUM(G252:G839)</f>
        <v>0</v>
      </c>
      <c r="H249" s="2">
        <v>450</v>
      </c>
      <c r="I249" s="22">
        <f>SUM(H249:H839)-SUM(I252:I839)</f>
        <v>1350</v>
      </c>
      <c r="J249" s="2">
        <v>576</v>
      </c>
      <c r="K249" s="22">
        <f>SUM(J249:J839)-SUM(K252:K839)</f>
        <v>1728</v>
      </c>
      <c r="L249" s="2">
        <v>418</v>
      </c>
      <c r="M249" s="22">
        <f>SUM(L249:L839)-SUM(M252:M839)</f>
        <v>1282</v>
      </c>
      <c r="N249" s="2">
        <v>800</v>
      </c>
      <c r="O249" s="22">
        <f>SUM(N249:N839)-SUM(O252:O839)</f>
        <v>2550</v>
      </c>
      <c r="P249" s="2">
        <v>480</v>
      </c>
      <c r="Q249" s="22">
        <f>SUM(P249:P839)-SUM(Q252:Q839)</f>
        <v>1470</v>
      </c>
      <c r="R249" s="21">
        <v>8</v>
      </c>
    </row>
    <row r="250" spans="1:18" x14ac:dyDescent="0.3">
      <c r="A250" s="21"/>
      <c r="B250" s="24"/>
      <c r="C250" s="2" t="s">
        <v>11</v>
      </c>
      <c r="D250" s="2">
        <v>160</v>
      </c>
      <c r="E250" s="21"/>
      <c r="F250" s="2">
        <v>0</v>
      </c>
      <c r="G250" s="21"/>
      <c r="H250" s="2">
        <v>450</v>
      </c>
      <c r="I250" s="21"/>
      <c r="J250" s="2">
        <v>576</v>
      </c>
      <c r="K250" s="21"/>
      <c r="L250" s="2">
        <v>432</v>
      </c>
      <c r="M250" s="21"/>
      <c r="N250" s="2">
        <v>1000</v>
      </c>
      <c r="O250" s="21"/>
      <c r="P250" s="2">
        <v>660</v>
      </c>
      <c r="Q250" s="21"/>
      <c r="R250" s="21"/>
    </row>
    <row r="251" spans="1:18" x14ac:dyDescent="0.3">
      <c r="A251" s="21"/>
      <c r="B251" s="24"/>
      <c r="C251" s="2" t="s">
        <v>12</v>
      </c>
      <c r="D251" s="2">
        <v>160</v>
      </c>
      <c r="E251" s="21"/>
      <c r="F251" s="2">
        <v>0</v>
      </c>
      <c r="G251" s="21"/>
      <c r="H251" s="2">
        <v>450</v>
      </c>
      <c r="I251" s="21"/>
      <c r="J251" s="2">
        <v>576</v>
      </c>
      <c r="K251" s="21"/>
      <c r="L251" s="2">
        <v>432</v>
      </c>
      <c r="M251" s="21"/>
      <c r="N251" s="2">
        <v>750</v>
      </c>
      <c r="O251" s="21"/>
      <c r="P251" s="2">
        <v>330</v>
      </c>
      <c r="Q251" s="21"/>
      <c r="R251" s="21"/>
    </row>
    <row r="252" spans="1:18" x14ac:dyDescent="0.3">
      <c r="A252" s="21"/>
      <c r="B252" s="24">
        <v>45107</v>
      </c>
      <c r="C252" s="2" t="s">
        <v>10</v>
      </c>
      <c r="D252" s="2">
        <v>160</v>
      </c>
      <c r="E252" s="22">
        <f>SUM(D252:D842)-SUM(E255:E842)</f>
        <v>480</v>
      </c>
      <c r="F252" s="2">
        <v>0</v>
      </c>
      <c r="G252" s="22">
        <f>SUM(F252:F842)-SUM(G255:G842)</f>
        <v>0</v>
      </c>
      <c r="H252" s="2">
        <v>450</v>
      </c>
      <c r="I252" s="22">
        <f>SUM(H252:H842)-SUM(I255:I842)</f>
        <v>1350</v>
      </c>
      <c r="J252" s="2">
        <v>576</v>
      </c>
      <c r="K252" s="22">
        <f>SUM(J252:J842)-SUM(K255:K842)</f>
        <v>1728</v>
      </c>
      <c r="L252" s="2">
        <v>272</v>
      </c>
      <c r="M252" s="22">
        <f>SUM(L252:L842)-SUM(M255:M842)</f>
        <v>888</v>
      </c>
      <c r="N252" s="2">
        <v>600</v>
      </c>
      <c r="O252" s="22">
        <f>SUM(N252:N842)-SUM(O255:O842)</f>
        <v>1400</v>
      </c>
      <c r="P252" s="2">
        <v>690</v>
      </c>
      <c r="Q252" s="22">
        <f>SUM(P252:P842)-SUM(Q255:Q842)</f>
        <v>1500</v>
      </c>
      <c r="R252" s="21">
        <v>9.5</v>
      </c>
    </row>
    <row r="253" spans="1:18" x14ac:dyDescent="0.3">
      <c r="A253" s="21"/>
      <c r="B253" s="24"/>
      <c r="C253" s="2" t="s">
        <v>11</v>
      </c>
      <c r="D253" s="2">
        <v>160</v>
      </c>
      <c r="E253" s="21"/>
      <c r="F253" s="2">
        <v>0</v>
      </c>
      <c r="G253" s="21"/>
      <c r="H253" s="2">
        <v>450</v>
      </c>
      <c r="I253" s="21"/>
      <c r="J253" s="2">
        <v>576</v>
      </c>
      <c r="K253" s="21"/>
      <c r="L253" s="2">
        <v>320</v>
      </c>
      <c r="M253" s="21"/>
      <c r="N253" s="2">
        <v>500</v>
      </c>
      <c r="O253" s="21"/>
      <c r="P253" s="2">
        <v>720</v>
      </c>
      <c r="Q253" s="21"/>
      <c r="R253" s="21"/>
    </row>
    <row r="254" spans="1:18" x14ac:dyDescent="0.3">
      <c r="A254" s="21"/>
      <c r="B254" s="24"/>
      <c r="C254" s="2" t="s">
        <v>12</v>
      </c>
      <c r="D254" s="2">
        <v>160</v>
      </c>
      <c r="E254" s="21"/>
      <c r="F254" s="2">
        <v>0</v>
      </c>
      <c r="G254" s="21"/>
      <c r="H254" s="2">
        <v>450</v>
      </c>
      <c r="I254" s="21"/>
      <c r="J254" s="2">
        <v>576</v>
      </c>
      <c r="K254" s="21"/>
      <c r="L254" s="2">
        <v>296</v>
      </c>
      <c r="M254" s="21"/>
      <c r="N254" s="2">
        <v>300</v>
      </c>
      <c r="O254" s="21"/>
      <c r="P254" s="2">
        <v>90</v>
      </c>
      <c r="Q254" s="21"/>
      <c r="R254" s="21"/>
    </row>
    <row r="255" spans="1:18" x14ac:dyDescent="0.3">
      <c r="A255" s="21" t="s">
        <v>21</v>
      </c>
      <c r="B255" s="24">
        <v>45108</v>
      </c>
      <c r="C255" s="2" t="s">
        <v>10</v>
      </c>
      <c r="D255" s="2">
        <v>160</v>
      </c>
      <c r="E255" s="22">
        <f>SUM(D255:D845)-SUM(E258:E845)</f>
        <v>480</v>
      </c>
      <c r="F255" s="2">
        <v>0</v>
      </c>
      <c r="G255" s="22">
        <f>SUM(F255:F845)-SUM(G258:G845)</f>
        <v>0</v>
      </c>
      <c r="H255" s="2">
        <v>450</v>
      </c>
      <c r="I255" s="22">
        <f>SUM(H255:H845)-SUM(I258:I845)</f>
        <v>750</v>
      </c>
      <c r="J255" s="2">
        <v>576</v>
      </c>
      <c r="K255" s="22">
        <f>SUM(J255:J845)-SUM(K258:K845)</f>
        <v>1728</v>
      </c>
      <c r="L255" s="2">
        <v>272</v>
      </c>
      <c r="M255" s="22">
        <f>SUM(L255:L845)-SUM(M258:M845)</f>
        <v>896</v>
      </c>
      <c r="N255" s="2">
        <v>600</v>
      </c>
      <c r="O255" s="22">
        <f>SUM(N255:N845)-SUM(O258:O845)</f>
        <v>1200</v>
      </c>
      <c r="P255" s="2">
        <v>105</v>
      </c>
      <c r="Q255" s="22">
        <f>SUM(P255:P845)-SUM(Q258:Q845)</f>
        <v>465</v>
      </c>
      <c r="R255" s="21">
        <v>11.5</v>
      </c>
    </row>
    <row r="256" spans="1:18" x14ac:dyDescent="0.3">
      <c r="A256" s="21"/>
      <c r="B256" s="24"/>
      <c r="C256" s="2" t="s">
        <v>11</v>
      </c>
      <c r="D256" s="2">
        <v>160</v>
      </c>
      <c r="E256" s="21"/>
      <c r="F256" s="2">
        <v>0</v>
      </c>
      <c r="G256" s="21"/>
      <c r="H256" s="2">
        <v>0</v>
      </c>
      <c r="I256" s="21"/>
      <c r="J256" s="2">
        <v>576</v>
      </c>
      <c r="K256" s="21"/>
      <c r="L256" s="2">
        <v>312</v>
      </c>
      <c r="M256" s="21"/>
      <c r="N256" s="2">
        <v>300</v>
      </c>
      <c r="O256" s="21"/>
      <c r="P256" s="2">
        <v>360</v>
      </c>
      <c r="Q256" s="21"/>
      <c r="R256" s="21"/>
    </row>
    <row r="257" spans="1:18" x14ac:dyDescent="0.3">
      <c r="A257" s="21"/>
      <c r="B257" s="24"/>
      <c r="C257" s="2" t="s">
        <v>12</v>
      </c>
      <c r="D257" s="2">
        <v>160</v>
      </c>
      <c r="E257" s="21"/>
      <c r="F257" s="2">
        <v>0</v>
      </c>
      <c r="G257" s="21"/>
      <c r="H257" s="2">
        <v>300</v>
      </c>
      <c r="I257" s="21"/>
      <c r="J257" s="2">
        <v>576</v>
      </c>
      <c r="K257" s="21"/>
      <c r="L257" s="2">
        <v>312</v>
      </c>
      <c r="M257" s="21"/>
      <c r="N257" s="2">
        <v>300</v>
      </c>
      <c r="O257" s="21"/>
      <c r="P257" s="2">
        <v>0</v>
      </c>
      <c r="Q257" s="21"/>
      <c r="R257" s="21"/>
    </row>
    <row r="258" spans="1:18" x14ac:dyDescent="0.3">
      <c r="A258" s="21"/>
      <c r="B258" s="24">
        <v>45109</v>
      </c>
      <c r="C258" s="2" t="s">
        <v>10</v>
      </c>
      <c r="D258" s="2">
        <v>320</v>
      </c>
      <c r="E258" s="22">
        <f>SUM(D258:D848)-SUM(E261:E848)</f>
        <v>1200</v>
      </c>
      <c r="F258" s="2">
        <v>0</v>
      </c>
      <c r="G258" s="22">
        <f>SUM(F258:F848)-SUM(G261:G848)</f>
        <v>0</v>
      </c>
      <c r="H258" s="2">
        <v>300</v>
      </c>
      <c r="I258" s="22">
        <f>SUM(H258:H848)-SUM(I261:I848)</f>
        <v>900</v>
      </c>
      <c r="J258" s="2">
        <v>624</v>
      </c>
      <c r="K258" s="22">
        <f>SUM(J258:J848)-SUM(K261:K848)</f>
        <v>1248</v>
      </c>
      <c r="L258" s="2">
        <v>272</v>
      </c>
      <c r="M258" s="22">
        <f>SUM(L258:L848)-SUM(M261:M848)</f>
        <v>816</v>
      </c>
      <c r="N258" s="2">
        <v>550</v>
      </c>
      <c r="O258" s="22">
        <f>SUM(N258:N848)-SUM(O261:O848)</f>
        <v>1500</v>
      </c>
      <c r="P258" s="2">
        <v>150</v>
      </c>
      <c r="Q258" s="22">
        <f>SUM(P258:P848)-SUM(Q261:Q848)</f>
        <v>420</v>
      </c>
      <c r="R258" s="21">
        <v>9.5</v>
      </c>
    </row>
    <row r="259" spans="1:18" x14ac:dyDescent="0.3">
      <c r="A259" s="21"/>
      <c r="B259" s="24"/>
      <c r="C259" s="2" t="s">
        <v>11</v>
      </c>
      <c r="D259" s="2">
        <v>320</v>
      </c>
      <c r="E259" s="21"/>
      <c r="F259" s="2">
        <v>0</v>
      </c>
      <c r="G259" s="21"/>
      <c r="H259" s="2">
        <v>300</v>
      </c>
      <c r="I259" s="21"/>
      <c r="J259" s="2">
        <v>624</v>
      </c>
      <c r="K259" s="21"/>
      <c r="L259" s="2">
        <v>272</v>
      </c>
      <c r="M259" s="21"/>
      <c r="N259" s="2">
        <v>650</v>
      </c>
      <c r="O259" s="21"/>
      <c r="P259" s="2">
        <v>180</v>
      </c>
      <c r="Q259" s="21"/>
      <c r="R259" s="21"/>
    </row>
    <row r="260" spans="1:18" x14ac:dyDescent="0.3">
      <c r="A260" s="21"/>
      <c r="B260" s="24"/>
      <c r="C260" s="2" t="s">
        <v>12</v>
      </c>
      <c r="D260" s="2">
        <v>560</v>
      </c>
      <c r="E260" s="21"/>
      <c r="F260" s="2">
        <v>0</v>
      </c>
      <c r="G260" s="21"/>
      <c r="H260" s="2">
        <v>300</v>
      </c>
      <c r="I260" s="21"/>
      <c r="J260" s="2">
        <v>0</v>
      </c>
      <c r="K260" s="21"/>
      <c r="L260" s="2">
        <v>272</v>
      </c>
      <c r="M260" s="21"/>
      <c r="N260" s="2">
        <v>300</v>
      </c>
      <c r="O260" s="21"/>
      <c r="P260" s="2">
        <v>90</v>
      </c>
      <c r="Q260" s="21"/>
      <c r="R260" s="21"/>
    </row>
    <row r="261" spans="1:18" x14ac:dyDescent="0.3">
      <c r="A261" s="21"/>
      <c r="B261" s="23">
        <v>45110</v>
      </c>
      <c r="C261" s="2" t="s">
        <v>10</v>
      </c>
      <c r="D261" s="2">
        <v>320</v>
      </c>
      <c r="E261" s="26">
        <f>SUM(D261:D851)-SUM(E264:E851)</f>
        <v>1140</v>
      </c>
      <c r="F261" s="2">
        <v>0</v>
      </c>
      <c r="G261" s="26">
        <f>SUM(F261:F851)-SUM(G264:G851)</f>
        <v>0</v>
      </c>
      <c r="H261" s="2">
        <v>450</v>
      </c>
      <c r="I261" s="26">
        <f>SUM(H261:H851)-SUM(I264:I851)</f>
        <v>1350</v>
      </c>
      <c r="J261" s="2">
        <v>240</v>
      </c>
      <c r="K261" s="26">
        <f>SUM(J261:J851)-SUM(K264:K851)</f>
        <v>720</v>
      </c>
      <c r="L261" s="2">
        <v>176</v>
      </c>
      <c r="M261" s="26">
        <f>SUM(L261:L851)-SUM(M264:M851)</f>
        <v>720</v>
      </c>
      <c r="N261" s="2">
        <v>400</v>
      </c>
      <c r="O261" s="26">
        <f>SUM(N261:N851)-SUM(O264:O851)</f>
        <v>850</v>
      </c>
      <c r="P261" s="2">
        <v>315</v>
      </c>
      <c r="Q261" s="26">
        <f>SUM(P261:P851)-SUM(Q264:Q851)</f>
        <v>665</v>
      </c>
      <c r="R261" s="21">
        <v>8.5</v>
      </c>
    </row>
    <row r="262" spans="1:18" x14ac:dyDescent="0.3">
      <c r="A262" s="21"/>
      <c r="B262" s="23"/>
      <c r="C262" s="2" t="s">
        <v>11</v>
      </c>
      <c r="D262" s="2">
        <v>500</v>
      </c>
      <c r="E262" s="27"/>
      <c r="F262" s="2">
        <v>0</v>
      </c>
      <c r="G262" s="27"/>
      <c r="H262" s="2">
        <v>450</v>
      </c>
      <c r="I262" s="27"/>
      <c r="J262" s="2">
        <v>240</v>
      </c>
      <c r="K262" s="27"/>
      <c r="L262" s="2">
        <v>272</v>
      </c>
      <c r="M262" s="27"/>
      <c r="N262" s="2">
        <v>0</v>
      </c>
      <c r="O262" s="27"/>
      <c r="P262" s="2">
        <v>210</v>
      </c>
      <c r="Q262" s="27"/>
      <c r="R262" s="21"/>
    </row>
    <row r="263" spans="1:18" x14ac:dyDescent="0.3">
      <c r="A263" s="21"/>
      <c r="B263" s="23"/>
      <c r="C263" s="2" t="s">
        <v>12</v>
      </c>
      <c r="D263" s="2">
        <v>320</v>
      </c>
      <c r="E263" s="27"/>
      <c r="F263" s="2">
        <v>0</v>
      </c>
      <c r="G263" s="27"/>
      <c r="H263" s="2">
        <v>450</v>
      </c>
      <c r="I263" s="27"/>
      <c r="J263" s="2">
        <v>240</v>
      </c>
      <c r="K263" s="27"/>
      <c r="L263" s="2">
        <v>272</v>
      </c>
      <c r="M263" s="27"/>
      <c r="N263" s="2">
        <v>450</v>
      </c>
      <c r="O263" s="27"/>
      <c r="P263" s="2">
        <v>140</v>
      </c>
      <c r="Q263" s="27"/>
      <c r="R263" s="21"/>
    </row>
    <row r="264" spans="1:18" x14ac:dyDescent="0.3">
      <c r="A264" s="21"/>
      <c r="B264" s="24">
        <v>45111</v>
      </c>
      <c r="C264" s="2" t="s">
        <v>10</v>
      </c>
      <c r="D264" s="2">
        <v>360</v>
      </c>
      <c r="E264" s="22">
        <f>SUM(D264:D854)-SUM(E267:E854)</f>
        <v>1000</v>
      </c>
      <c r="F264" s="2">
        <v>0</v>
      </c>
      <c r="G264" s="22">
        <f>SUM(F264:F854)-SUM(G267:G854)</f>
        <v>0</v>
      </c>
      <c r="H264" s="2">
        <v>500</v>
      </c>
      <c r="I264" s="22">
        <f>SUM(H264:H854)-SUM(I267:I854)</f>
        <v>1500</v>
      </c>
      <c r="J264" s="2">
        <v>240</v>
      </c>
      <c r="K264" s="22">
        <f>SUM(J264:J854)-SUM(K267:K854)</f>
        <v>720</v>
      </c>
      <c r="L264" s="2">
        <v>216</v>
      </c>
      <c r="M264" s="22">
        <f>SUM(L264:L854)-SUM(M267:M854)</f>
        <v>644</v>
      </c>
      <c r="N264" s="2">
        <v>400</v>
      </c>
      <c r="O264" s="22">
        <f>SUM(N264:N854)-SUM(O267:O854)</f>
        <v>400</v>
      </c>
      <c r="P264" s="2">
        <v>0</v>
      </c>
      <c r="Q264" s="22">
        <f>SUM(P264:P854)-SUM(Q267:Q854)</f>
        <v>0</v>
      </c>
      <c r="R264" s="21">
        <v>8</v>
      </c>
    </row>
    <row r="265" spans="1:18" x14ac:dyDescent="0.3">
      <c r="A265" s="21"/>
      <c r="B265" s="24"/>
      <c r="C265" s="2" t="s">
        <v>11</v>
      </c>
      <c r="D265" s="2">
        <v>320</v>
      </c>
      <c r="E265" s="21"/>
      <c r="F265" s="2">
        <v>0</v>
      </c>
      <c r="G265" s="21"/>
      <c r="H265" s="2">
        <v>500</v>
      </c>
      <c r="I265" s="21"/>
      <c r="J265" s="2">
        <v>240</v>
      </c>
      <c r="K265" s="21"/>
      <c r="L265" s="2">
        <v>216</v>
      </c>
      <c r="M265" s="21"/>
      <c r="N265" s="2">
        <v>0</v>
      </c>
      <c r="O265" s="21"/>
      <c r="P265" s="2">
        <v>0</v>
      </c>
      <c r="Q265" s="21"/>
      <c r="R265" s="21"/>
    </row>
    <row r="266" spans="1:18" x14ac:dyDescent="0.3">
      <c r="A266" s="21"/>
      <c r="B266" s="24"/>
      <c r="C266" s="2" t="s">
        <v>12</v>
      </c>
      <c r="D266" s="2">
        <v>320</v>
      </c>
      <c r="E266" s="21"/>
      <c r="F266" s="2">
        <v>0</v>
      </c>
      <c r="G266" s="21"/>
      <c r="H266" s="2">
        <v>500</v>
      </c>
      <c r="I266" s="21"/>
      <c r="J266" s="2">
        <v>240</v>
      </c>
      <c r="K266" s="21"/>
      <c r="L266" s="2">
        <v>212</v>
      </c>
      <c r="M266" s="21"/>
      <c r="N266" s="2">
        <v>0</v>
      </c>
      <c r="O266" s="21"/>
      <c r="P266" s="2">
        <v>0</v>
      </c>
      <c r="Q266" s="21"/>
      <c r="R266" s="21"/>
    </row>
    <row r="267" spans="1:18" x14ac:dyDescent="0.3">
      <c r="A267" s="21"/>
      <c r="B267" s="24">
        <v>45112</v>
      </c>
      <c r="C267" s="2" t="s">
        <v>10</v>
      </c>
      <c r="D267" s="2">
        <v>380</v>
      </c>
      <c r="E267" s="22">
        <f>SUM(D267:D857)-SUM(E270:E857)</f>
        <v>1260</v>
      </c>
      <c r="F267" s="2">
        <v>0</v>
      </c>
      <c r="G267" s="22">
        <f>SUM(F267:F857)-SUM(G270:G857)</f>
        <v>0</v>
      </c>
      <c r="H267" s="2">
        <v>550</v>
      </c>
      <c r="I267" s="22">
        <f>SUM(H267:H857)-SUM(I270:I857)</f>
        <v>1650</v>
      </c>
      <c r="J267" s="2">
        <v>240</v>
      </c>
      <c r="K267" s="22">
        <f>SUM(J267:J857)-SUM(K270:K857)</f>
        <v>720</v>
      </c>
      <c r="L267" s="2">
        <v>256</v>
      </c>
      <c r="M267" s="22">
        <f>SUM(L267:L857)-SUM(M270:M857)</f>
        <v>760</v>
      </c>
      <c r="N267" s="2">
        <v>0</v>
      </c>
      <c r="O267" s="22">
        <f>SUM(N267:N857)-SUM(O270:O857)</f>
        <v>0</v>
      </c>
      <c r="P267" s="2">
        <v>0</v>
      </c>
      <c r="Q267" s="22">
        <f>SUM(P267:P857)-SUM(Q270:Q857)</f>
        <v>0</v>
      </c>
      <c r="R267" s="21">
        <v>7</v>
      </c>
    </row>
    <row r="268" spans="1:18" x14ac:dyDescent="0.3">
      <c r="A268" s="21"/>
      <c r="B268" s="24"/>
      <c r="C268" s="2" t="s">
        <v>11</v>
      </c>
      <c r="D268" s="2">
        <v>380</v>
      </c>
      <c r="E268" s="21"/>
      <c r="F268" s="2">
        <v>0</v>
      </c>
      <c r="G268" s="21"/>
      <c r="H268" s="2">
        <v>550</v>
      </c>
      <c r="I268" s="21"/>
      <c r="J268" s="2">
        <v>240</v>
      </c>
      <c r="K268" s="21"/>
      <c r="L268" s="2">
        <v>264</v>
      </c>
      <c r="M268" s="21"/>
      <c r="N268" s="2">
        <v>0</v>
      </c>
      <c r="O268" s="21"/>
      <c r="P268" s="2">
        <v>0</v>
      </c>
      <c r="Q268" s="21"/>
      <c r="R268" s="21"/>
    </row>
    <row r="269" spans="1:18" x14ac:dyDescent="0.3">
      <c r="A269" s="21"/>
      <c r="B269" s="24"/>
      <c r="C269" s="2" t="s">
        <v>12</v>
      </c>
      <c r="D269" s="2">
        <v>500</v>
      </c>
      <c r="E269" s="21"/>
      <c r="F269" s="2">
        <v>0</v>
      </c>
      <c r="G269" s="21"/>
      <c r="H269" s="2">
        <v>550</v>
      </c>
      <c r="I269" s="21"/>
      <c r="J269" s="2">
        <v>240</v>
      </c>
      <c r="K269" s="21"/>
      <c r="L269" s="2">
        <v>240</v>
      </c>
      <c r="M269" s="21"/>
      <c r="N269" s="2">
        <v>0</v>
      </c>
      <c r="O269" s="21"/>
      <c r="P269" s="2">
        <v>0</v>
      </c>
      <c r="Q269" s="21"/>
      <c r="R269" s="21"/>
    </row>
    <row r="270" spans="1:18" x14ac:dyDescent="0.3">
      <c r="A270" s="21"/>
      <c r="B270" s="24">
        <v>45113</v>
      </c>
      <c r="C270" s="2" t="s">
        <v>10</v>
      </c>
      <c r="D270" s="2">
        <v>360</v>
      </c>
      <c r="E270" s="22">
        <f>SUM(D270:D860)-SUM(E273:E860)</f>
        <v>1200</v>
      </c>
      <c r="F270" s="2">
        <v>0</v>
      </c>
      <c r="G270" s="22">
        <f>SUM(F270:F860)-SUM(G273:G860)</f>
        <v>0</v>
      </c>
      <c r="H270" s="2">
        <v>550</v>
      </c>
      <c r="I270" s="22">
        <f>SUM(H270:H860)-SUM(I273:I860)</f>
        <v>1400</v>
      </c>
      <c r="J270" s="2">
        <v>240</v>
      </c>
      <c r="K270" s="22">
        <f>SUM(J270:J860)-SUM(K273:K860)</f>
        <v>1200</v>
      </c>
      <c r="L270" s="2">
        <v>256</v>
      </c>
      <c r="M270" s="22">
        <f>SUM(L270:L860)-SUM(M273:M860)</f>
        <v>724</v>
      </c>
      <c r="N270" s="2">
        <v>0</v>
      </c>
      <c r="O270" s="22">
        <f>SUM(N270:N860)-SUM(O273:O860)</f>
        <v>0</v>
      </c>
      <c r="P270" s="2">
        <v>0</v>
      </c>
      <c r="Q270" s="22">
        <f>SUM(P270:P860)-SUM(Q273:Q860)</f>
        <v>0</v>
      </c>
      <c r="R270" s="21">
        <v>7.5</v>
      </c>
    </row>
    <row r="271" spans="1:18" x14ac:dyDescent="0.3">
      <c r="A271" s="21"/>
      <c r="B271" s="24"/>
      <c r="C271" s="2" t="s">
        <v>11</v>
      </c>
      <c r="D271" s="2">
        <v>360</v>
      </c>
      <c r="E271" s="21"/>
      <c r="F271" s="2">
        <v>0</v>
      </c>
      <c r="G271" s="21"/>
      <c r="H271" s="2">
        <v>350</v>
      </c>
      <c r="I271" s="21"/>
      <c r="J271" s="2">
        <v>384</v>
      </c>
      <c r="K271" s="21"/>
      <c r="L271" s="2">
        <v>240</v>
      </c>
      <c r="M271" s="21"/>
      <c r="N271" s="2">
        <v>0</v>
      </c>
      <c r="O271" s="21"/>
      <c r="P271" s="2">
        <v>0</v>
      </c>
      <c r="Q271" s="21"/>
      <c r="R271" s="21"/>
    </row>
    <row r="272" spans="1:18" x14ac:dyDescent="0.3">
      <c r="A272" s="21"/>
      <c r="B272" s="24"/>
      <c r="C272" s="2" t="s">
        <v>12</v>
      </c>
      <c r="D272" s="2">
        <v>480</v>
      </c>
      <c r="E272" s="21"/>
      <c r="F272" s="2">
        <v>0</v>
      </c>
      <c r="G272" s="21"/>
      <c r="H272" s="2">
        <v>500</v>
      </c>
      <c r="I272" s="21"/>
      <c r="J272" s="2">
        <v>576</v>
      </c>
      <c r="K272" s="21"/>
      <c r="L272" s="2">
        <v>228</v>
      </c>
      <c r="M272" s="21"/>
      <c r="N272" s="2">
        <v>0</v>
      </c>
      <c r="O272" s="21"/>
      <c r="P272" s="2">
        <v>0</v>
      </c>
      <c r="Q272" s="21"/>
      <c r="R272" s="21"/>
    </row>
    <row r="273" spans="1:18" x14ac:dyDescent="0.3">
      <c r="A273" s="21"/>
      <c r="B273" s="24">
        <v>45114</v>
      </c>
      <c r="C273" s="2" t="s">
        <v>10</v>
      </c>
      <c r="D273" s="2">
        <v>540</v>
      </c>
      <c r="E273" s="22">
        <f>SUM(D273:D863)-SUM(E276:E863)</f>
        <v>1300</v>
      </c>
      <c r="F273" s="2">
        <v>0</v>
      </c>
      <c r="G273" s="22">
        <f>SUM(F273:F863)-SUM(G276:G863)</f>
        <v>0</v>
      </c>
      <c r="H273" s="2">
        <v>450</v>
      </c>
      <c r="I273" s="22">
        <f>SUM(H273:H863)-SUM(I276:I863)</f>
        <v>1300</v>
      </c>
      <c r="J273" s="2">
        <v>300</v>
      </c>
      <c r="K273" s="22">
        <f>SUM(J273:J863)-SUM(K276:K863)</f>
        <v>972</v>
      </c>
      <c r="L273" s="2">
        <v>232</v>
      </c>
      <c r="M273" s="22">
        <f>SUM(L273:L863)-SUM(M276:M863)</f>
        <v>783</v>
      </c>
      <c r="N273" s="2">
        <v>0</v>
      </c>
      <c r="O273" s="22">
        <f>SUM(N273:N863)-SUM(O276:O863)</f>
        <v>500</v>
      </c>
      <c r="P273" s="2">
        <v>0</v>
      </c>
      <c r="Q273" s="22">
        <f>SUM(P273:P863)-SUM(Q276:Q863)</f>
        <v>385</v>
      </c>
      <c r="R273" s="21">
        <v>6.5</v>
      </c>
    </row>
    <row r="274" spans="1:18" x14ac:dyDescent="0.3">
      <c r="A274" s="21"/>
      <c r="B274" s="24"/>
      <c r="C274" s="2" t="s">
        <v>11</v>
      </c>
      <c r="D274" s="2">
        <v>440</v>
      </c>
      <c r="E274" s="21"/>
      <c r="F274" s="2">
        <v>0</v>
      </c>
      <c r="G274" s="21"/>
      <c r="H274" s="2">
        <v>350</v>
      </c>
      <c r="I274" s="21"/>
      <c r="J274" s="2">
        <v>240</v>
      </c>
      <c r="K274" s="21"/>
      <c r="L274" s="2">
        <v>324</v>
      </c>
      <c r="M274" s="21"/>
      <c r="N274" s="2">
        <v>300</v>
      </c>
      <c r="O274" s="21"/>
      <c r="P274" s="2">
        <v>175</v>
      </c>
      <c r="Q274" s="21"/>
      <c r="R274" s="21"/>
    </row>
    <row r="275" spans="1:18" x14ac:dyDescent="0.3">
      <c r="A275" s="21"/>
      <c r="B275" s="24"/>
      <c r="C275" s="2" t="s">
        <v>12</v>
      </c>
      <c r="D275" s="2">
        <v>320</v>
      </c>
      <c r="E275" s="21"/>
      <c r="F275" s="2">
        <v>0</v>
      </c>
      <c r="G275" s="21"/>
      <c r="H275" s="2">
        <v>500</v>
      </c>
      <c r="I275" s="21"/>
      <c r="J275" s="2">
        <v>432</v>
      </c>
      <c r="K275" s="21"/>
      <c r="L275" s="2">
        <v>227</v>
      </c>
      <c r="M275" s="21"/>
      <c r="N275" s="2">
        <v>200</v>
      </c>
      <c r="O275" s="21"/>
      <c r="P275" s="2">
        <v>210</v>
      </c>
      <c r="Q275" s="21"/>
      <c r="R275" s="21"/>
    </row>
    <row r="276" spans="1:18" x14ac:dyDescent="0.3">
      <c r="A276" s="21"/>
      <c r="B276" s="24">
        <v>45115</v>
      </c>
      <c r="C276" s="2" t="s">
        <v>10</v>
      </c>
      <c r="D276" s="2">
        <v>480</v>
      </c>
      <c r="E276" s="22">
        <f>SUM(D276:D866)-SUM(E279:E866)</f>
        <v>1240</v>
      </c>
      <c r="F276" s="2">
        <v>0</v>
      </c>
      <c r="G276" s="22">
        <f>SUM(F276:F866)-SUM(G279:G866)</f>
        <v>0</v>
      </c>
      <c r="H276" s="2">
        <v>450</v>
      </c>
      <c r="I276" s="22">
        <f>SUM(H276:H866)-SUM(I279:I866)</f>
        <v>1350</v>
      </c>
      <c r="J276" s="2">
        <v>240</v>
      </c>
      <c r="K276" s="22">
        <f>SUM(J276:J866)-SUM(K279:K866)</f>
        <v>720</v>
      </c>
      <c r="L276" s="2">
        <v>352</v>
      </c>
      <c r="M276" s="22">
        <f>SUM(L276:L866)-SUM(M279:M866)</f>
        <v>797</v>
      </c>
      <c r="N276" s="2">
        <v>300</v>
      </c>
      <c r="O276" s="22">
        <f>SUM(N276:N866)-SUM(O279:O866)</f>
        <v>800</v>
      </c>
      <c r="P276" s="2">
        <v>140</v>
      </c>
      <c r="Q276" s="22">
        <f>SUM(P276:P866)-SUM(Q279:Q866)</f>
        <v>350</v>
      </c>
      <c r="R276" s="21">
        <v>6.2</v>
      </c>
    </row>
    <row r="277" spans="1:18" x14ac:dyDescent="0.3">
      <c r="A277" s="21"/>
      <c r="B277" s="24"/>
      <c r="C277" s="2" t="s">
        <v>11</v>
      </c>
      <c r="D277" s="2">
        <v>440</v>
      </c>
      <c r="E277" s="21"/>
      <c r="F277" s="2">
        <v>0</v>
      </c>
      <c r="G277" s="21"/>
      <c r="H277" s="2">
        <v>450</v>
      </c>
      <c r="I277" s="21"/>
      <c r="J277" s="2">
        <v>240</v>
      </c>
      <c r="K277" s="21"/>
      <c r="L277" s="2">
        <v>209</v>
      </c>
      <c r="M277" s="21"/>
      <c r="N277" s="2">
        <v>300</v>
      </c>
      <c r="O277" s="21"/>
      <c r="P277" s="2">
        <v>210</v>
      </c>
      <c r="Q277" s="21"/>
      <c r="R277" s="21"/>
    </row>
    <row r="278" spans="1:18" x14ac:dyDescent="0.3">
      <c r="A278" s="21"/>
      <c r="B278" s="24"/>
      <c r="C278" s="2" t="s">
        <v>12</v>
      </c>
      <c r="D278" s="2">
        <v>320</v>
      </c>
      <c r="E278" s="21"/>
      <c r="F278" s="2">
        <v>0</v>
      </c>
      <c r="G278" s="21"/>
      <c r="H278" s="2">
        <v>450</v>
      </c>
      <c r="I278" s="21"/>
      <c r="J278" s="2">
        <v>240</v>
      </c>
      <c r="K278" s="21"/>
      <c r="L278" s="2">
        <v>236</v>
      </c>
      <c r="M278" s="21"/>
      <c r="N278" s="2">
        <v>200</v>
      </c>
      <c r="O278" s="21"/>
      <c r="P278" s="2">
        <v>0</v>
      </c>
      <c r="Q278" s="21"/>
      <c r="R278" s="21"/>
    </row>
    <row r="279" spans="1:18" x14ac:dyDescent="0.3">
      <c r="A279" s="21"/>
      <c r="B279" s="23">
        <v>45116</v>
      </c>
      <c r="C279" s="2" t="s">
        <v>10</v>
      </c>
      <c r="D279" s="2">
        <v>320</v>
      </c>
      <c r="E279" s="26">
        <f>SUM(D279:D869)-SUM(E282:E869)</f>
        <v>960</v>
      </c>
      <c r="F279" s="2">
        <v>0</v>
      </c>
      <c r="G279" s="26">
        <f>SUM(F279:F869)-SUM(G282:G869)</f>
        <v>0</v>
      </c>
      <c r="H279" s="2">
        <v>450</v>
      </c>
      <c r="I279" s="26">
        <f>SUM(H279:H869)-SUM(I282:I869)</f>
        <v>1350</v>
      </c>
      <c r="J279" s="2">
        <v>432</v>
      </c>
      <c r="K279" s="26">
        <f>SUM(J279:J869)-SUM(K282:K869)</f>
        <v>1296</v>
      </c>
      <c r="L279" s="2">
        <v>240</v>
      </c>
      <c r="M279" s="26">
        <f>SUM(L279:L869)-SUM(M282:M869)</f>
        <v>720</v>
      </c>
      <c r="N279" s="2">
        <v>200</v>
      </c>
      <c r="O279" s="26">
        <f>SUM(N279:N869)-SUM(O282:O869)</f>
        <v>400</v>
      </c>
      <c r="P279" s="2">
        <v>0</v>
      </c>
      <c r="Q279" s="26">
        <f>SUM(P279:P869)-SUM(Q282:Q869)</f>
        <v>0</v>
      </c>
      <c r="R279" s="21">
        <v>7</v>
      </c>
    </row>
    <row r="280" spans="1:18" x14ac:dyDescent="0.3">
      <c r="A280" s="21"/>
      <c r="B280" s="23"/>
      <c r="C280" s="2" t="s">
        <v>11</v>
      </c>
      <c r="D280" s="2">
        <v>320</v>
      </c>
      <c r="E280" s="27"/>
      <c r="F280" s="2">
        <v>0</v>
      </c>
      <c r="G280" s="27"/>
      <c r="H280" s="2">
        <v>450</v>
      </c>
      <c r="I280" s="27"/>
      <c r="J280" s="2">
        <v>432</v>
      </c>
      <c r="K280" s="27"/>
      <c r="L280" s="2">
        <v>240</v>
      </c>
      <c r="M280" s="27"/>
      <c r="N280" s="2">
        <v>200</v>
      </c>
      <c r="O280" s="27"/>
      <c r="P280" s="2">
        <v>0</v>
      </c>
      <c r="Q280" s="27"/>
      <c r="R280" s="21"/>
    </row>
    <row r="281" spans="1:18" x14ac:dyDescent="0.3">
      <c r="A281" s="21"/>
      <c r="B281" s="23"/>
      <c r="C281" s="2" t="s">
        <v>12</v>
      </c>
      <c r="D281" s="2">
        <v>320</v>
      </c>
      <c r="E281" s="27"/>
      <c r="F281" s="2">
        <v>0</v>
      </c>
      <c r="G281" s="27"/>
      <c r="H281" s="2">
        <v>450</v>
      </c>
      <c r="I281" s="27"/>
      <c r="J281" s="2">
        <v>432</v>
      </c>
      <c r="K281" s="27"/>
      <c r="L281" s="2">
        <v>240</v>
      </c>
      <c r="M281" s="27"/>
      <c r="N281" s="2">
        <v>0</v>
      </c>
      <c r="O281" s="27"/>
      <c r="P281" s="2">
        <v>0</v>
      </c>
      <c r="Q281" s="27"/>
      <c r="R281" s="21"/>
    </row>
    <row r="282" spans="1:18" x14ac:dyDescent="0.3">
      <c r="A282" s="21"/>
      <c r="B282" s="24">
        <v>45117</v>
      </c>
      <c r="C282" s="2" t="s">
        <v>10</v>
      </c>
      <c r="D282" s="2">
        <v>320</v>
      </c>
      <c r="E282" s="22">
        <f>SUM(D282:D872)-SUM(E285:E872)</f>
        <v>1200</v>
      </c>
      <c r="F282" s="2">
        <v>0</v>
      </c>
      <c r="G282" s="22">
        <f>SUM(F282:F872)-SUM(G285:G872)</f>
        <v>0</v>
      </c>
      <c r="H282" s="2">
        <v>500</v>
      </c>
      <c r="I282" s="22">
        <f>SUM(H282:H872)-SUM(I285:I872)</f>
        <v>1400</v>
      </c>
      <c r="J282" s="2">
        <v>432</v>
      </c>
      <c r="K282" s="22">
        <f>SUM(J282:J872)-SUM(K285:K872)</f>
        <v>912</v>
      </c>
      <c r="L282" s="2">
        <v>210</v>
      </c>
      <c r="M282" s="22">
        <f>SUM(L282:L872)-SUM(M285:M872)</f>
        <v>618</v>
      </c>
      <c r="N282" s="2">
        <v>100</v>
      </c>
      <c r="O282" s="22">
        <f>SUM(N282:N872)-SUM(O285:O872)</f>
        <v>900</v>
      </c>
      <c r="P282" s="2">
        <v>0</v>
      </c>
      <c r="Q282" s="22">
        <f>SUM(P282:P872)-SUM(Q285:Q872)</f>
        <v>70</v>
      </c>
      <c r="R282" s="21">
        <v>7.5</v>
      </c>
    </row>
    <row r="283" spans="1:18" x14ac:dyDescent="0.3">
      <c r="A283" s="21"/>
      <c r="B283" s="24"/>
      <c r="C283" s="2" t="s">
        <v>11</v>
      </c>
      <c r="D283" s="2">
        <v>440</v>
      </c>
      <c r="E283" s="21"/>
      <c r="F283" s="2">
        <v>0</v>
      </c>
      <c r="G283" s="21"/>
      <c r="H283" s="2">
        <v>450</v>
      </c>
      <c r="I283" s="21"/>
      <c r="J283" s="2">
        <v>240</v>
      </c>
      <c r="K283" s="21"/>
      <c r="L283" s="2">
        <v>224</v>
      </c>
      <c r="M283" s="21"/>
      <c r="N283" s="2">
        <v>350</v>
      </c>
      <c r="O283" s="21"/>
      <c r="P283" s="2">
        <v>70</v>
      </c>
      <c r="Q283" s="21"/>
      <c r="R283" s="21"/>
    </row>
    <row r="284" spans="1:18" x14ac:dyDescent="0.3">
      <c r="A284" s="21"/>
      <c r="B284" s="24"/>
      <c r="C284" s="2" t="s">
        <v>12</v>
      </c>
      <c r="D284" s="2">
        <v>440</v>
      </c>
      <c r="E284" s="21"/>
      <c r="F284" s="2">
        <v>0</v>
      </c>
      <c r="G284" s="21"/>
      <c r="H284" s="2">
        <v>450</v>
      </c>
      <c r="I284" s="21"/>
      <c r="J284" s="2">
        <v>240</v>
      </c>
      <c r="K284" s="21"/>
      <c r="L284" s="2">
        <v>184</v>
      </c>
      <c r="M284" s="21"/>
      <c r="N284" s="2">
        <v>450</v>
      </c>
      <c r="O284" s="21"/>
      <c r="P284" s="2">
        <v>0</v>
      </c>
      <c r="Q284" s="21"/>
      <c r="R284" s="21"/>
    </row>
    <row r="285" spans="1:18" x14ac:dyDescent="0.3">
      <c r="A285" s="21"/>
      <c r="B285" s="24">
        <v>45118</v>
      </c>
      <c r="C285" s="2" t="s">
        <v>10</v>
      </c>
      <c r="D285" s="2">
        <v>440</v>
      </c>
      <c r="E285" s="22">
        <f>SUM(D285:D875)-SUM(E288:E875)</f>
        <v>1100</v>
      </c>
      <c r="F285" s="2">
        <v>0</v>
      </c>
      <c r="G285" s="22">
        <f>SUM(F285:F875)-SUM(G288:G875)</f>
        <v>0</v>
      </c>
      <c r="H285" s="2">
        <v>300</v>
      </c>
      <c r="I285" s="22">
        <f>SUM(H285:H875)-SUM(I288:I875)</f>
        <v>1300</v>
      </c>
      <c r="J285" s="2">
        <v>240</v>
      </c>
      <c r="K285" s="22">
        <f>SUM(J285:J875)-SUM(K288:K875)</f>
        <v>720</v>
      </c>
      <c r="L285" s="2">
        <v>244</v>
      </c>
      <c r="M285" s="22">
        <f>SUM(L285:L875)-SUM(M288:M875)</f>
        <v>773</v>
      </c>
      <c r="N285" s="2">
        <v>200</v>
      </c>
      <c r="O285" s="22">
        <f>SUM(N285:N875)-SUM(O288:O875)</f>
        <v>1250</v>
      </c>
      <c r="P285" s="2">
        <v>120</v>
      </c>
      <c r="Q285" s="22">
        <f>SUM(P285:P875)-SUM(Q288:Q875)</f>
        <v>870</v>
      </c>
      <c r="R285" s="21">
        <v>8.1999999999999993</v>
      </c>
    </row>
    <row r="286" spans="1:18" x14ac:dyDescent="0.3">
      <c r="A286" s="21"/>
      <c r="B286" s="24"/>
      <c r="C286" s="2" t="s">
        <v>11</v>
      </c>
      <c r="D286" s="2">
        <v>340</v>
      </c>
      <c r="E286" s="21"/>
      <c r="F286" s="2">
        <v>0</v>
      </c>
      <c r="G286" s="21"/>
      <c r="H286" s="2">
        <v>500</v>
      </c>
      <c r="I286" s="21"/>
      <c r="J286" s="2">
        <v>240</v>
      </c>
      <c r="K286" s="21"/>
      <c r="L286" s="2">
        <v>241</v>
      </c>
      <c r="M286" s="21"/>
      <c r="N286" s="2">
        <v>500</v>
      </c>
      <c r="O286" s="21"/>
      <c r="P286" s="2">
        <v>360</v>
      </c>
      <c r="Q286" s="21"/>
      <c r="R286" s="21"/>
    </row>
    <row r="287" spans="1:18" x14ac:dyDescent="0.3">
      <c r="A287" s="21"/>
      <c r="B287" s="24"/>
      <c r="C287" s="2" t="s">
        <v>12</v>
      </c>
      <c r="D287" s="2">
        <v>320</v>
      </c>
      <c r="E287" s="21"/>
      <c r="F287" s="2">
        <v>0</v>
      </c>
      <c r="G287" s="21"/>
      <c r="H287" s="2">
        <v>500</v>
      </c>
      <c r="I287" s="21"/>
      <c r="J287" s="2">
        <v>240</v>
      </c>
      <c r="K287" s="21"/>
      <c r="L287" s="2">
        <v>288</v>
      </c>
      <c r="M287" s="21"/>
      <c r="N287" s="2">
        <v>550</v>
      </c>
      <c r="O287" s="21"/>
      <c r="P287" s="2">
        <v>390</v>
      </c>
      <c r="Q287" s="21"/>
      <c r="R287" s="21"/>
    </row>
    <row r="288" spans="1:18" x14ac:dyDescent="0.3">
      <c r="A288" s="21"/>
      <c r="B288" s="24">
        <v>45119</v>
      </c>
      <c r="C288" s="2" t="s">
        <v>10</v>
      </c>
      <c r="D288" s="2">
        <v>520</v>
      </c>
      <c r="E288" s="22">
        <f>SUM(D288:D878)-SUM(E291:E878)</f>
        <v>1360</v>
      </c>
      <c r="F288" s="2">
        <v>0</v>
      </c>
      <c r="G288" s="22">
        <f>SUM(F288:F878)-SUM(G291:G878)</f>
        <v>0</v>
      </c>
      <c r="H288" s="2">
        <v>550</v>
      </c>
      <c r="I288" s="22">
        <f>SUM(H288:H878)-SUM(I291:I878)</f>
        <v>1250</v>
      </c>
      <c r="J288" s="2">
        <v>240</v>
      </c>
      <c r="K288" s="22">
        <f>SUM(J288:J878)-SUM(K291:K878)</f>
        <v>1200</v>
      </c>
      <c r="L288" s="2">
        <v>326</v>
      </c>
      <c r="M288" s="22">
        <f>SUM(L288:L878)-SUM(M291:M878)</f>
        <v>1122</v>
      </c>
      <c r="N288" s="2">
        <v>550</v>
      </c>
      <c r="O288" s="22">
        <f>SUM(N288:N878)-SUM(O291:O878)</f>
        <v>2000</v>
      </c>
      <c r="P288" s="2">
        <v>1650</v>
      </c>
      <c r="Q288" s="22">
        <f>SUM(P288:P878)-SUM(Q291:Q878)</f>
        <v>2910</v>
      </c>
      <c r="R288" s="21">
        <v>7.5</v>
      </c>
    </row>
    <row r="289" spans="1:18" x14ac:dyDescent="0.3">
      <c r="A289" s="21"/>
      <c r="B289" s="24"/>
      <c r="C289" s="2" t="s">
        <v>11</v>
      </c>
      <c r="D289" s="2">
        <v>520</v>
      </c>
      <c r="E289" s="21"/>
      <c r="F289" s="2">
        <v>0</v>
      </c>
      <c r="G289" s="21"/>
      <c r="H289" s="2">
        <v>250</v>
      </c>
      <c r="I289" s="21"/>
      <c r="J289" s="2">
        <v>480</v>
      </c>
      <c r="K289" s="21"/>
      <c r="L289" s="2">
        <v>380</v>
      </c>
      <c r="M289" s="21"/>
      <c r="N289" s="2">
        <v>900</v>
      </c>
      <c r="O289" s="21"/>
      <c r="P289" s="2">
        <v>840</v>
      </c>
      <c r="Q289" s="21"/>
      <c r="R289" s="21"/>
    </row>
    <row r="290" spans="1:18" x14ac:dyDescent="0.3">
      <c r="A290" s="21"/>
      <c r="B290" s="24"/>
      <c r="C290" s="2" t="s">
        <v>12</v>
      </c>
      <c r="D290" s="2">
        <v>320</v>
      </c>
      <c r="E290" s="21"/>
      <c r="F290" s="2">
        <v>0</v>
      </c>
      <c r="G290" s="21"/>
      <c r="H290" s="2">
        <v>450</v>
      </c>
      <c r="I290" s="21"/>
      <c r="J290" s="2">
        <v>480</v>
      </c>
      <c r="K290" s="21"/>
      <c r="L290" s="2">
        <v>416</v>
      </c>
      <c r="M290" s="21"/>
      <c r="N290" s="2">
        <v>550</v>
      </c>
      <c r="O290" s="21"/>
      <c r="P290" s="2">
        <v>420</v>
      </c>
      <c r="Q290" s="21"/>
      <c r="R290" s="21"/>
    </row>
    <row r="291" spans="1:18" x14ac:dyDescent="0.3">
      <c r="A291" s="21"/>
      <c r="B291" s="24">
        <v>45120</v>
      </c>
      <c r="C291" s="2" t="s">
        <v>10</v>
      </c>
      <c r="D291" s="2">
        <v>480</v>
      </c>
      <c r="E291" s="22">
        <f>SUM(D291:D881)-SUM(E294:E881)</f>
        <v>1280</v>
      </c>
      <c r="F291" s="2">
        <v>0</v>
      </c>
      <c r="G291" s="22">
        <f>SUM(F291:F881)-SUM(G294:G881)</f>
        <v>0</v>
      </c>
      <c r="H291" s="2">
        <v>350</v>
      </c>
      <c r="I291" s="22">
        <f>SUM(H291:H881)-SUM(I294:I881)</f>
        <v>750</v>
      </c>
      <c r="J291" s="2">
        <v>480</v>
      </c>
      <c r="K291" s="22">
        <f>SUM(J291:J881)-SUM(K294:K881)</f>
        <v>1440</v>
      </c>
      <c r="L291" s="2">
        <v>384</v>
      </c>
      <c r="M291" s="22">
        <f>SUM(L291:L881)-SUM(M294:M881)</f>
        <v>976</v>
      </c>
      <c r="N291" s="2">
        <v>600</v>
      </c>
      <c r="O291" s="22">
        <f>SUM(N291:N881)-SUM(O294:O881)</f>
        <v>1300</v>
      </c>
      <c r="P291" s="2">
        <v>1530</v>
      </c>
      <c r="Q291" s="22">
        <f>SUM(P291:P881)-SUM(Q294:Q881)</f>
        <v>2250</v>
      </c>
      <c r="R291" s="21">
        <v>7</v>
      </c>
    </row>
    <row r="292" spans="1:18" x14ac:dyDescent="0.3">
      <c r="A292" s="21"/>
      <c r="B292" s="24"/>
      <c r="C292" s="2" t="s">
        <v>11</v>
      </c>
      <c r="D292" s="2">
        <v>480</v>
      </c>
      <c r="E292" s="21"/>
      <c r="F292" s="2">
        <v>0</v>
      </c>
      <c r="G292" s="21"/>
      <c r="H292" s="2">
        <v>200</v>
      </c>
      <c r="I292" s="21"/>
      <c r="J292" s="2">
        <v>480</v>
      </c>
      <c r="K292" s="21"/>
      <c r="L292" s="2">
        <v>344</v>
      </c>
      <c r="M292" s="21"/>
      <c r="N292" s="2">
        <v>400</v>
      </c>
      <c r="O292" s="21"/>
      <c r="P292" s="2">
        <v>240</v>
      </c>
      <c r="Q292" s="21"/>
      <c r="R292" s="21"/>
    </row>
    <row r="293" spans="1:18" x14ac:dyDescent="0.3">
      <c r="A293" s="21"/>
      <c r="B293" s="24"/>
      <c r="C293" s="2" t="s">
        <v>12</v>
      </c>
      <c r="D293" s="2">
        <v>320</v>
      </c>
      <c r="E293" s="21"/>
      <c r="F293" s="2">
        <v>0</v>
      </c>
      <c r="G293" s="21"/>
      <c r="H293" s="2">
        <v>200</v>
      </c>
      <c r="I293" s="21"/>
      <c r="J293" s="2">
        <v>480</v>
      </c>
      <c r="K293" s="21"/>
      <c r="L293" s="2">
        <v>248</v>
      </c>
      <c r="M293" s="21"/>
      <c r="N293" s="2">
        <v>300</v>
      </c>
      <c r="O293" s="21"/>
      <c r="P293" s="2">
        <v>480</v>
      </c>
      <c r="Q293" s="21"/>
      <c r="R293" s="21"/>
    </row>
    <row r="294" spans="1:18" x14ac:dyDescent="0.3">
      <c r="A294" s="21"/>
      <c r="B294" s="24">
        <v>45121</v>
      </c>
      <c r="C294" s="2" t="s">
        <v>10</v>
      </c>
      <c r="D294" s="2">
        <v>560</v>
      </c>
      <c r="E294" s="22">
        <f>SUM(D294:D884)-SUM(E297:E884)</f>
        <v>1800</v>
      </c>
      <c r="F294" s="2">
        <v>0</v>
      </c>
      <c r="G294" s="22">
        <f>SUM(F294:F884)-SUM(G297:G884)</f>
        <v>0</v>
      </c>
      <c r="H294" s="2">
        <v>250</v>
      </c>
      <c r="I294" s="22">
        <f>SUM(H294:H884)-SUM(I297:I884)</f>
        <v>750</v>
      </c>
      <c r="J294" s="2">
        <v>240</v>
      </c>
      <c r="K294" s="22">
        <f>SUM(J294:J884)-SUM(K297:K884)</f>
        <v>816</v>
      </c>
      <c r="L294" s="2">
        <v>204</v>
      </c>
      <c r="M294" s="22">
        <f>SUM(L294:L884)-SUM(M297:M884)</f>
        <v>736</v>
      </c>
      <c r="N294" s="2">
        <v>400</v>
      </c>
      <c r="O294" s="22">
        <f>SUM(N294:N884)-SUM(O297:O884)</f>
        <v>1250</v>
      </c>
      <c r="P294" s="2">
        <v>870</v>
      </c>
      <c r="Q294" s="22">
        <f>SUM(P294:P884)-SUM(Q297:Q884)</f>
        <v>1800</v>
      </c>
      <c r="R294" s="21">
        <v>6.1</v>
      </c>
    </row>
    <row r="295" spans="1:18" x14ac:dyDescent="0.3">
      <c r="A295" s="21"/>
      <c r="B295" s="24"/>
      <c r="C295" s="2" t="s">
        <v>11</v>
      </c>
      <c r="D295" s="2">
        <v>560</v>
      </c>
      <c r="E295" s="21"/>
      <c r="F295" s="2">
        <v>0</v>
      </c>
      <c r="G295" s="21"/>
      <c r="H295" s="2">
        <v>250</v>
      </c>
      <c r="I295" s="21"/>
      <c r="J295" s="2">
        <v>288</v>
      </c>
      <c r="K295" s="21"/>
      <c r="L295" s="2">
        <v>276</v>
      </c>
      <c r="M295" s="21"/>
      <c r="N295" s="2">
        <v>350</v>
      </c>
      <c r="O295" s="21"/>
      <c r="P295" s="2">
        <v>870</v>
      </c>
      <c r="Q295" s="21"/>
      <c r="R295" s="21"/>
    </row>
    <row r="296" spans="1:18" x14ac:dyDescent="0.3">
      <c r="A296" s="21"/>
      <c r="B296" s="24"/>
      <c r="C296" s="2" t="s">
        <v>12</v>
      </c>
      <c r="D296" s="2">
        <v>680</v>
      </c>
      <c r="E296" s="21"/>
      <c r="F296" s="2">
        <v>0</v>
      </c>
      <c r="G296" s="21"/>
      <c r="H296" s="2">
        <v>250</v>
      </c>
      <c r="I296" s="21"/>
      <c r="J296" s="2">
        <v>288</v>
      </c>
      <c r="K296" s="21"/>
      <c r="L296" s="2">
        <v>256</v>
      </c>
      <c r="M296" s="21"/>
      <c r="N296" s="2">
        <v>500</v>
      </c>
      <c r="O296" s="21"/>
      <c r="P296" s="2">
        <v>60</v>
      </c>
      <c r="Q296" s="21"/>
      <c r="R296" s="21"/>
    </row>
    <row r="297" spans="1:18" x14ac:dyDescent="0.3">
      <c r="A297" s="21"/>
      <c r="B297" s="24">
        <v>45122</v>
      </c>
      <c r="C297" s="2" t="s">
        <v>10</v>
      </c>
      <c r="D297" s="2">
        <v>680</v>
      </c>
      <c r="E297" s="22">
        <f>SUM(D297:D887)-SUM(E300:E887)</f>
        <v>1800</v>
      </c>
      <c r="F297" s="2">
        <v>0</v>
      </c>
      <c r="G297" s="22">
        <f>SUM(F297:F887)-SUM(G300:G887)</f>
        <v>0</v>
      </c>
      <c r="H297" s="2">
        <v>300</v>
      </c>
      <c r="I297" s="22">
        <f>SUM(H297:H887)-SUM(I300:I887)</f>
        <v>750</v>
      </c>
      <c r="J297" s="2">
        <v>240</v>
      </c>
      <c r="K297" s="22">
        <f>SUM(J297:J887)-SUM(K300:K887)</f>
        <v>768</v>
      </c>
      <c r="L297" s="2">
        <v>290</v>
      </c>
      <c r="M297" s="22">
        <f>SUM(L297:L887)-SUM(M300:M887)</f>
        <v>932</v>
      </c>
      <c r="N297" s="2">
        <v>550</v>
      </c>
      <c r="O297" s="22">
        <f>SUM(N297:N887)-SUM(O300:O887)</f>
        <v>1350</v>
      </c>
      <c r="P297" s="2">
        <v>0</v>
      </c>
      <c r="Q297" s="22">
        <f>SUM(P297:P887)-SUM(Q300:Q887)</f>
        <v>0</v>
      </c>
      <c r="R297" s="21">
        <v>6</v>
      </c>
    </row>
    <row r="298" spans="1:18" x14ac:dyDescent="0.3">
      <c r="A298" s="21"/>
      <c r="B298" s="24"/>
      <c r="C298" s="2" t="s">
        <v>11</v>
      </c>
      <c r="D298" s="2">
        <v>560</v>
      </c>
      <c r="E298" s="21"/>
      <c r="F298" s="2">
        <v>0</v>
      </c>
      <c r="G298" s="21"/>
      <c r="H298" s="2">
        <v>200</v>
      </c>
      <c r="I298" s="21"/>
      <c r="J298" s="2">
        <v>240</v>
      </c>
      <c r="K298" s="21"/>
      <c r="L298" s="2">
        <v>322</v>
      </c>
      <c r="M298" s="21"/>
      <c r="N298" s="2">
        <v>350</v>
      </c>
      <c r="O298" s="21"/>
      <c r="P298" s="2">
        <v>0</v>
      </c>
      <c r="Q298" s="21"/>
      <c r="R298" s="21"/>
    </row>
    <row r="299" spans="1:18" x14ac:dyDescent="0.3">
      <c r="A299" s="21"/>
      <c r="B299" s="24"/>
      <c r="C299" s="2" t="s">
        <v>12</v>
      </c>
      <c r="D299" s="2">
        <v>560</v>
      </c>
      <c r="E299" s="21"/>
      <c r="F299" s="2">
        <v>0</v>
      </c>
      <c r="G299" s="21"/>
      <c r="H299" s="2">
        <v>250</v>
      </c>
      <c r="I299" s="21"/>
      <c r="J299" s="2">
        <v>288</v>
      </c>
      <c r="K299" s="21"/>
      <c r="L299" s="2">
        <v>320</v>
      </c>
      <c r="M299" s="21"/>
      <c r="N299" s="2">
        <v>450</v>
      </c>
      <c r="O299" s="21"/>
      <c r="P299" s="2">
        <v>0</v>
      </c>
      <c r="Q299" s="21"/>
      <c r="R299" s="21"/>
    </row>
    <row r="300" spans="1:18" x14ac:dyDescent="0.3">
      <c r="A300" s="21"/>
      <c r="B300" s="24">
        <v>45123</v>
      </c>
      <c r="C300" s="2" t="s">
        <v>10</v>
      </c>
      <c r="D300" s="2">
        <v>560</v>
      </c>
      <c r="E300" s="22">
        <f>SUM(D300:D890)-SUM(E303:E890)</f>
        <v>1680</v>
      </c>
      <c r="F300" s="2">
        <v>0</v>
      </c>
      <c r="G300" s="22">
        <f>SUM(F300:F890)-SUM(G303:G890)</f>
        <v>0</v>
      </c>
      <c r="H300" s="2">
        <v>200</v>
      </c>
      <c r="I300" s="22">
        <f>SUM(H300:H890)-SUM(I303:I890)</f>
        <v>700</v>
      </c>
      <c r="J300" s="2">
        <v>288</v>
      </c>
      <c r="K300" s="22">
        <f>SUM(J300:J890)-SUM(K303:K890)</f>
        <v>816</v>
      </c>
      <c r="L300" s="2">
        <v>320</v>
      </c>
      <c r="M300" s="22">
        <f>SUM(L300:L890)-SUM(M303:M890)</f>
        <v>928</v>
      </c>
      <c r="N300" s="2">
        <v>550</v>
      </c>
      <c r="O300" s="22">
        <f>SUM(N300:N890)-SUM(O303:O890)</f>
        <v>1550</v>
      </c>
      <c r="P300" s="2">
        <v>0</v>
      </c>
      <c r="Q300" s="22">
        <f>SUM(P300:P890)-SUM(Q303:Q890)</f>
        <v>0</v>
      </c>
      <c r="R300" s="21">
        <v>6.5</v>
      </c>
    </row>
    <row r="301" spans="1:18" x14ac:dyDescent="0.3">
      <c r="A301" s="21"/>
      <c r="B301" s="24"/>
      <c r="C301" s="2" t="s">
        <v>11</v>
      </c>
      <c r="D301" s="2">
        <v>560</v>
      </c>
      <c r="E301" s="21"/>
      <c r="F301" s="2">
        <v>0</v>
      </c>
      <c r="G301" s="21"/>
      <c r="H301" s="2">
        <v>250</v>
      </c>
      <c r="I301" s="21"/>
      <c r="J301" s="2">
        <v>240</v>
      </c>
      <c r="K301" s="21"/>
      <c r="L301" s="2">
        <v>304</v>
      </c>
      <c r="M301" s="21"/>
      <c r="N301" s="2">
        <v>450</v>
      </c>
      <c r="O301" s="21"/>
      <c r="P301" s="2">
        <v>0</v>
      </c>
      <c r="Q301" s="21"/>
      <c r="R301" s="21"/>
    </row>
    <row r="302" spans="1:18" x14ac:dyDescent="0.3">
      <c r="A302" s="21"/>
      <c r="B302" s="24"/>
      <c r="C302" s="2" t="s">
        <v>12</v>
      </c>
      <c r="D302" s="2">
        <v>560</v>
      </c>
      <c r="E302" s="21"/>
      <c r="F302" s="2">
        <v>0</v>
      </c>
      <c r="G302" s="21"/>
      <c r="H302" s="2">
        <v>250</v>
      </c>
      <c r="I302" s="21"/>
      <c r="J302" s="2">
        <v>288</v>
      </c>
      <c r="K302" s="21"/>
      <c r="L302" s="2">
        <v>304</v>
      </c>
      <c r="M302" s="21"/>
      <c r="N302" s="2">
        <v>550</v>
      </c>
      <c r="O302" s="21"/>
      <c r="P302" s="2">
        <v>0</v>
      </c>
      <c r="Q302" s="21"/>
      <c r="R302" s="21"/>
    </row>
    <row r="303" spans="1:18" x14ac:dyDescent="0.3">
      <c r="A303" s="21"/>
      <c r="B303" s="24">
        <v>45124</v>
      </c>
      <c r="C303" s="2" t="s">
        <v>10</v>
      </c>
      <c r="D303" s="2">
        <v>300</v>
      </c>
      <c r="E303" s="22">
        <f>SUM(D303:D893)-SUM(E306:E893)</f>
        <v>1480</v>
      </c>
      <c r="F303" s="2">
        <v>0</v>
      </c>
      <c r="G303" s="22">
        <f>SUM(F303:F893)-SUM(G306:G893)</f>
        <v>0</v>
      </c>
      <c r="H303" s="2">
        <v>500</v>
      </c>
      <c r="I303" s="22">
        <f>SUM(H303:H893)-SUM(I306:I893)</f>
        <v>750</v>
      </c>
      <c r="J303" s="2">
        <v>240</v>
      </c>
      <c r="K303" s="22">
        <f>SUM(J303:J893)-SUM(K306:K893)</f>
        <v>1008</v>
      </c>
      <c r="L303" s="2">
        <v>296</v>
      </c>
      <c r="M303" s="22">
        <f>SUM(L303:L893)-SUM(M306:M893)</f>
        <v>896</v>
      </c>
      <c r="N303" s="2">
        <v>450</v>
      </c>
      <c r="O303" s="22">
        <f>SUM(N303:N893)-SUM(O306:O893)</f>
        <v>1350</v>
      </c>
      <c r="P303" s="2">
        <v>0</v>
      </c>
      <c r="Q303" s="22">
        <f>SUM(P303:P893)-SUM(Q306:Q893)</f>
        <v>0</v>
      </c>
      <c r="R303" s="21">
        <v>7</v>
      </c>
    </row>
    <row r="304" spans="1:18" x14ac:dyDescent="0.3">
      <c r="A304" s="21"/>
      <c r="B304" s="24"/>
      <c r="C304" s="2" t="s">
        <v>11</v>
      </c>
      <c r="D304" s="2">
        <v>560</v>
      </c>
      <c r="E304" s="21"/>
      <c r="F304" s="2">
        <v>0</v>
      </c>
      <c r="G304" s="21"/>
      <c r="H304" s="2">
        <v>250</v>
      </c>
      <c r="I304" s="21"/>
      <c r="J304" s="2">
        <v>240</v>
      </c>
      <c r="K304" s="21"/>
      <c r="L304" s="2">
        <v>296</v>
      </c>
      <c r="M304" s="21"/>
      <c r="N304" s="2">
        <v>550</v>
      </c>
      <c r="O304" s="21"/>
      <c r="P304" s="2">
        <v>0</v>
      </c>
      <c r="Q304" s="21"/>
      <c r="R304" s="21"/>
    </row>
    <row r="305" spans="1:18" x14ac:dyDescent="0.3">
      <c r="A305" s="21"/>
      <c r="B305" s="24"/>
      <c r="C305" s="2" t="s">
        <v>12</v>
      </c>
      <c r="D305" s="2">
        <v>620</v>
      </c>
      <c r="E305" s="21"/>
      <c r="F305" s="2">
        <v>0</v>
      </c>
      <c r="G305" s="21"/>
      <c r="H305" s="2">
        <v>0</v>
      </c>
      <c r="I305" s="21"/>
      <c r="J305" s="2">
        <v>528</v>
      </c>
      <c r="K305" s="21"/>
      <c r="L305" s="2">
        <v>304</v>
      </c>
      <c r="M305" s="21"/>
      <c r="N305" s="2">
        <v>350</v>
      </c>
      <c r="O305" s="21"/>
      <c r="P305" s="2">
        <v>0</v>
      </c>
      <c r="Q305" s="21"/>
      <c r="R305" s="21"/>
    </row>
    <row r="306" spans="1:18" x14ac:dyDescent="0.3">
      <c r="A306" s="21"/>
      <c r="B306" s="24">
        <v>45125</v>
      </c>
      <c r="C306" s="2" t="s">
        <v>10</v>
      </c>
      <c r="D306" s="2">
        <v>600</v>
      </c>
      <c r="E306" s="22">
        <f>SUM(D306:D896)-SUM(E309:E896)</f>
        <v>2100</v>
      </c>
      <c r="F306" s="2">
        <v>0</v>
      </c>
      <c r="G306" s="22">
        <f>SUM(F306:F896)-SUM(G309:G896)</f>
        <v>0</v>
      </c>
      <c r="H306" s="2">
        <v>0</v>
      </c>
      <c r="I306" s="22">
        <f>SUM(H306:H896)-SUM(I309:I896)</f>
        <v>100</v>
      </c>
      <c r="J306" s="2">
        <v>528</v>
      </c>
      <c r="K306" s="22">
        <f>SUM(J306:J896)-SUM(K309:K896)</f>
        <v>1680</v>
      </c>
      <c r="L306" s="2">
        <v>263</v>
      </c>
      <c r="M306" s="22">
        <f>SUM(L306:L896)-SUM(M309:M896)</f>
        <v>935</v>
      </c>
      <c r="N306" s="2">
        <v>600</v>
      </c>
      <c r="O306" s="22">
        <f>SUM(N306:N896)-SUM(O309:O896)</f>
        <v>1300</v>
      </c>
      <c r="P306" s="2">
        <v>0</v>
      </c>
      <c r="Q306" s="22">
        <f>SUM(P306:P896)-SUM(Q309:Q896)</f>
        <v>0</v>
      </c>
      <c r="R306" s="21">
        <v>7.5</v>
      </c>
    </row>
    <row r="307" spans="1:18" x14ac:dyDescent="0.3">
      <c r="A307" s="21"/>
      <c r="B307" s="24"/>
      <c r="C307" s="2" t="s">
        <v>11</v>
      </c>
      <c r="D307" s="2">
        <v>780</v>
      </c>
      <c r="E307" s="21"/>
      <c r="F307" s="2">
        <v>0</v>
      </c>
      <c r="G307" s="21"/>
      <c r="H307" s="2">
        <v>100</v>
      </c>
      <c r="I307" s="21"/>
      <c r="J307" s="2">
        <v>576</v>
      </c>
      <c r="K307" s="21"/>
      <c r="L307" s="2">
        <v>388</v>
      </c>
      <c r="M307" s="21"/>
      <c r="N307" s="2">
        <v>350</v>
      </c>
      <c r="O307" s="21"/>
      <c r="P307" s="2">
        <v>0</v>
      </c>
      <c r="Q307" s="21"/>
      <c r="R307" s="21"/>
    </row>
    <row r="308" spans="1:18" x14ac:dyDescent="0.3">
      <c r="A308" s="21"/>
      <c r="B308" s="24"/>
      <c r="C308" s="2" t="s">
        <v>12</v>
      </c>
      <c r="D308" s="2">
        <v>720</v>
      </c>
      <c r="E308" s="21"/>
      <c r="F308" s="2">
        <v>0</v>
      </c>
      <c r="G308" s="21"/>
      <c r="H308" s="2">
        <v>0</v>
      </c>
      <c r="I308" s="21"/>
      <c r="J308" s="2">
        <v>576</v>
      </c>
      <c r="K308" s="21"/>
      <c r="L308" s="2">
        <v>284</v>
      </c>
      <c r="M308" s="21"/>
      <c r="N308" s="2">
        <v>350</v>
      </c>
      <c r="O308" s="21"/>
      <c r="P308" s="2">
        <v>0</v>
      </c>
      <c r="Q308" s="21"/>
      <c r="R308" s="21"/>
    </row>
    <row r="309" spans="1:18" x14ac:dyDescent="0.3">
      <c r="A309" s="21"/>
      <c r="B309" s="24">
        <v>45126</v>
      </c>
      <c r="C309" s="2" t="s">
        <v>10</v>
      </c>
      <c r="D309" s="2">
        <v>800</v>
      </c>
      <c r="E309" s="22">
        <f>SUM(D309:D899)-SUM(E312:E899)</f>
        <v>2480</v>
      </c>
      <c r="F309" s="2">
        <v>0</v>
      </c>
      <c r="G309" s="22">
        <f>SUM(F309:F899)-SUM(G312:G899)</f>
        <v>0</v>
      </c>
      <c r="H309" s="2">
        <v>0</v>
      </c>
      <c r="I309" s="22">
        <f>SUM(H309:H899)-SUM(I312:I899)</f>
        <v>0</v>
      </c>
      <c r="J309" s="2">
        <v>528</v>
      </c>
      <c r="K309" s="22">
        <f>SUM(J309:J899)-SUM(K312:K899)</f>
        <v>1584</v>
      </c>
      <c r="L309" s="2">
        <v>310</v>
      </c>
      <c r="M309" s="22">
        <f>SUM(L309:L899)-SUM(M312:M899)</f>
        <v>998</v>
      </c>
      <c r="N309" s="2">
        <v>300</v>
      </c>
      <c r="O309" s="22">
        <f>SUM(N309:N899)-SUM(O312:O899)</f>
        <v>950</v>
      </c>
      <c r="P309" s="2">
        <v>0</v>
      </c>
      <c r="Q309" s="22">
        <f>SUM(P309:P899)-SUM(Q312:Q899)</f>
        <v>0</v>
      </c>
      <c r="R309" s="21">
        <v>7.8</v>
      </c>
    </row>
    <row r="310" spans="1:18" x14ac:dyDescent="0.3">
      <c r="A310" s="21"/>
      <c r="B310" s="24"/>
      <c r="C310" s="2" t="s">
        <v>11</v>
      </c>
      <c r="D310" s="2">
        <v>840</v>
      </c>
      <c r="E310" s="21"/>
      <c r="F310" s="2">
        <v>0</v>
      </c>
      <c r="G310" s="21"/>
      <c r="H310" s="2">
        <v>0</v>
      </c>
      <c r="I310" s="21"/>
      <c r="J310" s="2">
        <v>528</v>
      </c>
      <c r="K310" s="21"/>
      <c r="L310" s="2">
        <v>344</v>
      </c>
      <c r="M310" s="21"/>
      <c r="N310" s="2">
        <v>300</v>
      </c>
      <c r="O310" s="21"/>
      <c r="P310" s="2">
        <v>0</v>
      </c>
      <c r="Q310" s="21"/>
      <c r="R310" s="21"/>
    </row>
    <row r="311" spans="1:18" x14ac:dyDescent="0.3">
      <c r="A311" s="21"/>
      <c r="B311" s="24"/>
      <c r="C311" s="2" t="s">
        <v>12</v>
      </c>
      <c r="D311" s="2">
        <v>840</v>
      </c>
      <c r="E311" s="21"/>
      <c r="F311" s="2">
        <v>0</v>
      </c>
      <c r="G311" s="21"/>
      <c r="H311" s="2">
        <v>0</v>
      </c>
      <c r="I311" s="21"/>
      <c r="J311" s="2">
        <v>528</v>
      </c>
      <c r="K311" s="21"/>
      <c r="L311" s="2">
        <v>344</v>
      </c>
      <c r="M311" s="21"/>
      <c r="N311" s="2">
        <v>350</v>
      </c>
      <c r="O311" s="21"/>
      <c r="P311" s="2">
        <v>0</v>
      </c>
      <c r="Q311" s="21"/>
      <c r="R311" s="21"/>
    </row>
    <row r="312" spans="1:18" x14ac:dyDescent="0.3">
      <c r="A312" s="21"/>
      <c r="B312" s="24">
        <v>45127</v>
      </c>
      <c r="C312" s="2" t="s">
        <v>10</v>
      </c>
      <c r="D312" s="2">
        <v>840</v>
      </c>
      <c r="E312" s="22">
        <f>SUM(D312:D902)-SUM(E315:E902)</f>
        <v>2160</v>
      </c>
      <c r="F312" s="2">
        <v>0</v>
      </c>
      <c r="G312" s="22">
        <f>SUM(F312:F902)-SUM(G315:G902)</f>
        <v>0</v>
      </c>
      <c r="H312" s="2">
        <v>0</v>
      </c>
      <c r="I312" s="22">
        <f>SUM(H312:H902)-SUM(I315:I902)</f>
        <v>200</v>
      </c>
      <c r="J312" s="2">
        <v>624</v>
      </c>
      <c r="K312" s="22">
        <f>SUM(J312:J902)-SUM(K315:K902)</f>
        <v>1872</v>
      </c>
      <c r="L312" s="2">
        <v>330</v>
      </c>
      <c r="M312" s="22">
        <f>SUM(L312:L902)-SUM(M315:M902)</f>
        <v>866</v>
      </c>
      <c r="N312" s="2">
        <v>450</v>
      </c>
      <c r="O312" s="22">
        <f>SUM(N312:N902)-SUM(O315:O902)</f>
        <v>1250</v>
      </c>
      <c r="P312" s="2">
        <v>0</v>
      </c>
      <c r="Q312" s="22">
        <f>SUM(P312:P902)-SUM(Q315:Q902)</f>
        <v>0</v>
      </c>
      <c r="R312" s="21">
        <v>6.6</v>
      </c>
    </row>
    <row r="313" spans="1:18" x14ac:dyDescent="0.3">
      <c r="A313" s="21"/>
      <c r="B313" s="24"/>
      <c r="C313" s="2" t="s">
        <v>11</v>
      </c>
      <c r="D313" s="2">
        <v>640</v>
      </c>
      <c r="E313" s="21"/>
      <c r="F313" s="2">
        <v>0</v>
      </c>
      <c r="G313" s="21"/>
      <c r="H313" s="2">
        <v>100</v>
      </c>
      <c r="I313" s="21"/>
      <c r="J313" s="2">
        <v>624</v>
      </c>
      <c r="K313" s="21"/>
      <c r="L313" s="2">
        <v>248</v>
      </c>
      <c r="M313" s="21"/>
      <c r="N313" s="2">
        <v>450</v>
      </c>
      <c r="O313" s="21"/>
      <c r="P313" s="2">
        <v>0</v>
      </c>
      <c r="Q313" s="21"/>
      <c r="R313" s="21"/>
    </row>
    <row r="314" spans="1:18" x14ac:dyDescent="0.3">
      <c r="A314" s="21"/>
      <c r="B314" s="24"/>
      <c r="C314" s="2" t="s">
        <v>12</v>
      </c>
      <c r="D314" s="2">
        <v>680</v>
      </c>
      <c r="E314" s="21"/>
      <c r="F314" s="2">
        <v>0</v>
      </c>
      <c r="G314" s="21"/>
      <c r="H314" s="2">
        <v>100</v>
      </c>
      <c r="I314" s="21"/>
      <c r="J314" s="2">
        <v>624</v>
      </c>
      <c r="K314" s="21"/>
      <c r="L314" s="2">
        <v>288</v>
      </c>
      <c r="M314" s="21"/>
      <c r="N314" s="2">
        <v>350</v>
      </c>
      <c r="O314" s="21"/>
      <c r="P314" s="2">
        <v>0</v>
      </c>
      <c r="Q314" s="21"/>
      <c r="R314" s="21"/>
    </row>
    <row r="315" spans="1:18" x14ac:dyDescent="0.3">
      <c r="A315" s="21"/>
      <c r="B315" s="24">
        <v>45128</v>
      </c>
      <c r="C315" s="2" t="s">
        <v>10</v>
      </c>
      <c r="D315" s="2">
        <v>480</v>
      </c>
      <c r="E315" s="22">
        <f>SUM(D315:D905)-SUM(E318:E905)</f>
        <v>1440</v>
      </c>
      <c r="F315" s="2">
        <v>0</v>
      </c>
      <c r="G315" s="22">
        <f>SUM(F315:F905)-SUM(G318:G905)</f>
        <v>0</v>
      </c>
      <c r="H315" s="2">
        <v>250</v>
      </c>
      <c r="I315" s="22">
        <f>SUM(H315:H905)-SUM(I318:I905)</f>
        <v>650</v>
      </c>
      <c r="J315" s="2">
        <v>624</v>
      </c>
      <c r="K315" s="22">
        <f>SUM(J315:J905)-SUM(K318:K905)</f>
        <v>1872</v>
      </c>
      <c r="L315" s="2">
        <v>224</v>
      </c>
      <c r="M315" s="22">
        <f>SUM(L315:L905)-SUM(M318:M905)</f>
        <v>752</v>
      </c>
      <c r="N315" s="2">
        <v>400</v>
      </c>
      <c r="O315" s="22">
        <f>SUM(N315:N905)-SUM(O318:O905)</f>
        <v>1250</v>
      </c>
      <c r="P315" s="2">
        <v>0</v>
      </c>
      <c r="Q315" s="22">
        <f>SUM(P315:P905)-SUM(Q318:Q905)</f>
        <v>0</v>
      </c>
      <c r="R315" s="21">
        <v>6</v>
      </c>
    </row>
    <row r="316" spans="1:18" x14ac:dyDescent="0.3">
      <c r="A316" s="21"/>
      <c r="B316" s="24"/>
      <c r="C316" s="2" t="s">
        <v>11</v>
      </c>
      <c r="D316" s="2">
        <v>480</v>
      </c>
      <c r="E316" s="21"/>
      <c r="F316" s="2">
        <v>0</v>
      </c>
      <c r="G316" s="21"/>
      <c r="H316" s="2">
        <v>200</v>
      </c>
      <c r="I316" s="21"/>
      <c r="J316" s="2">
        <v>624</v>
      </c>
      <c r="K316" s="21"/>
      <c r="L316" s="2">
        <v>272</v>
      </c>
      <c r="M316" s="21"/>
      <c r="N316" s="2">
        <v>350</v>
      </c>
      <c r="O316" s="21"/>
      <c r="P316" s="2">
        <v>0</v>
      </c>
      <c r="Q316" s="21"/>
      <c r="R316" s="21"/>
    </row>
    <row r="317" spans="1:18" x14ac:dyDescent="0.3">
      <c r="A317" s="21"/>
      <c r="B317" s="24"/>
      <c r="C317" s="2" t="s">
        <v>12</v>
      </c>
      <c r="D317" s="2">
        <v>480</v>
      </c>
      <c r="E317" s="21"/>
      <c r="F317" s="2">
        <v>0</v>
      </c>
      <c r="G317" s="21"/>
      <c r="H317" s="2">
        <v>200</v>
      </c>
      <c r="I317" s="21"/>
      <c r="J317" s="2">
        <v>624</v>
      </c>
      <c r="K317" s="21"/>
      <c r="L317" s="2">
        <v>256</v>
      </c>
      <c r="M317" s="21"/>
      <c r="N317" s="2">
        <v>500</v>
      </c>
      <c r="O317" s="21"/>
      <c r="P317" s="2">
        <v>0</v>
      </c>
      <c r="Q317" s="21"/>
      <c r="R317" s="21"/>
    </row>
    <row r="318" spans="1:18" x14ac:dyDescent="0.3">
      <c r="A318" s="21"/>
      <c r="B318" s="24">
        <v>45129</v>
      </c>
      <c r="C318" s="2" t="s">
        <v>10</v>
      </c>
      <c r="D318" s="2">
        <v>520</v>
      </c>
      <c r="E318" s="22">
        <f>SUM(D318:D908)-SUM(E321:E908)</f>
        <v>1680</v>
      </c>
      <c r="F318" s="2">
        <v>0</v>
      </c>
      <c r="G318" s="22">
        <f>SUM(F318:F908)-SUM(G321:G908)</f>
        <v>0</v>
      </c>
      <c r="H318" s="2">
        <v>250</v>
      </c>
      <c r="I318" s="22">
        <f>SUM(H318:H908)-SUM(I321:I908)</f>
        <v>750</v>
      </c>
      <c r="J318" s="2">
        <v>672</v>
      </c>
      <c r="K318" s="22">
        <f>SUM(J318:J908)-SUM(K321:K908)</f>
        <v>2016</v>
      </c>
      <c r="L318" s="2">
        <v>272</v>
      </c>
      <c r="M318" s="22">
        <f>SUM(L318:L908)-SUM(M321:M908)</f>
        <v>816</v>
      </c>
      <c r="N318" s="2">
        <v>450</v>
      </c>
      <c r="O318" s="22">
        <f>SUM(N318:N908)-SUM(O321:O908)</f>
        <v>950</v>
      </c>
      <c r="P318" s="2">
        <v>0</v>
      </c>
      <c r="Q318" s="22">
        <f>SUM(P318:P908)-SUM(Q321:Q908)</f>
        <v>0</v>
      </c>
      <c r="R318" s="21">
        <v>6.6</v>
      </c>
    </row>
    <row r="319" spans="1:18" x14ac:dyDescent="0.3">
      <c r="A319" s="21"/>
      <c r="B319" s="24"/>
      <c r="C319" s="2" t="s">
        <v>11</v>
      </c>
      <c r="D319" s="2">
        <v>640</v>
      </c>
      <c r="E319" s="21"/>
      <c r="F319" s="2">
        <v>0</v>
      </c>
      <c r="G319" s="21"/>
      <c r="H319" s="2">
        <v>250</v>
      </c>
      <c r="I319" s="21"/>
      <c r="J319" s="2">
        <v>672</v>
      </c>
      <c r="K319" s="21"/>
      <c r="L319" s="2">
        <v>272</v>
      </c>
      <c r="M319" s="21"/>
      <c r="N319" s="2">
        <v>300</v>
      </c>
      <c r="O319" s="21"/>
      <c r="P319" s="2">
        <v>0</v>
      </c>
      <c r="Q319" s="21"/>
      <c r="R319" s="21"/>
    </row>
    <row r="320" spans="1:18" x14ac:dyDescent="0.3">
      <c r="A320" s="21"/>
      <c r="B320" s="24"/>
      <c r="C320" s="2" t="s">
        <v>12</v>
      </c>
      <c r="D320" s="2">
        <v>520</v>
      </c>
      <c r="E320" s="21"/>
      <c r="F320" s="2">
        <v>0</v>
      </c>
      <c r="G320" s="21"/>
      <c r="H320" s="2">
        <v>250</v>
      </c>
      <c r="I320" s="21"/>
      <c r="J320" s="2">
        <v>672</v>
      </c>
      <c r="K320" s="21"/>
      <c r="L320" s="2">
        <v>272</v>
      </c>
      <c r="M320" s="21"/>
      <c r="N320" s="2">
        <v>200</v>
      </c>
      <c r="O320" s="21"/>
      <c r="P320" s="2">
        <v>0</v>
      </c>
      <c r="Q320" s="21"/>
      <c r="R320" s="21"/>
    </row>
    <row r="321" spans="1:18" x14ac:dyDescent="0.3">
      <c r="A321" s="21"/>
      <c r="B321" s="24">
        <v>45130</v>
      </c>
      <c r="C321" s="2" t="s">
        <v>10</v>
      </c>
      <c r="D321" s="2">
        <v>640</v>
      </c>
      <c r="E321" s="22">
        <f>SUM(D321:D911)-SUM(E324:E911)</f>
        <v>1920</v>
      </c>
      <c r="F321" s="2">
        <v>0</v>
      </c>
      <c r="G321" s="22">
        <f>SUM(F321:F911)-SUM(G324:G911)</f>
        <v>0</v>
      </c>
      <c r="H321" s="2">
        <v>300</v>
      </c>
      <c r="I321" s="22">
        <f>SUM(H321:H911)-SUM(I324:I911)</f>
        <v>950</v>
      </c>
      <c r="J321" s="2">
        <v>696</v>
      </c>
      <c r="K321" s="22">
        <f>SUM(J321:J911)-SUM(K324:K911)</f>
        <v>2040</v>
      </c>
      <c r="L321" s="2">
        <v>303</v>
      </c>
      <c r="M321" s="22">
        <f>SUM(L321:L911)-SUM(M324:M911)</f>
        <v>927</v>
      </c>
      <c r="N321" s="2">
        <v>375</v>
      </c>
      <c r="O321" s="22">
        <f>SUM(N321:N911)-SUM(O324:O911)</f>
        <v>1050</v>
      </c>
      <c r="P321" s="2">
        <v>0</v>
      </c>
      <c r="Q321" s="22">
        <f>SUM(P321:P911)-SUM(Q324:Q911)</f>
        <v>0</v>
      </c>
      <c r="R321" s="21">
        <v>7.5</v>
      </c>
    </row>
    <row r="322" spans="1:18" x14ac:dyDescent="0.3">
      <c r="A322" s="21"/>
      <c r="B322" s="24"/>
      <c r="C322" s="2" t="s">
        <v>11</v>
      </c>
      <c r="D322" s="2">
        <v>640</v>
      </c>
      <c r="E322" s="21"/>
      <c r="F322" s="2">
        <v>0</v>
      </c>
      <c r="G322" s="21"/>
      <c r="H322" s="2">
        <v>350</v>
      </c>
      <c r="I322" s="21"/>
      <c r="J322" s="2">
        <v>672</v>
      </c>
      <c r="K322" s="21"/>
      <c r="L322" s="2">
        <v>312</v>
      </c>
      <c r="M322" s="21"/>
      <c r="N322" s="2">
        <v>300</v>
      </c>
      <c r="O322" s="21"/>
      <c r="P322" s="2">
        <v>0</v>
      </c>
      <c r="Q322" s="21"/>
      <c r="R322" s="21"/>
    </row>
    <row r="323" spans="1:18" x14ac:dyDescent="0.3">
      <c r="A323" s="21"/>
      <c r="B323" s="24"/>
      <c r="C323" s="2" t="s">
        <v>12</v>
      </c>
      <c r="D323" s="2">
        <v>640</v>
      </c>
      <c r="E323" s="21"/>
      <c r="F323" s="2">
        <v>0</v>
      </c>
      <c r="G323" s="21"/>
      <c r="H323" s="2">
        <v>300</v>
      </c>
      <c r="I323" s="21"/>
      <c r="J323" s="2">
        <v>672</v>
      </c>
      <c r="K323" s="21"/>
      <c r="L323" s="2">
        <v>312</v>
      </c>
      <c r="M323" s="21"/>
      <c r="N323" s="2">
        <v>375</v>
      </c>
      <c r="O323" s="21"/>
      <c r="P323" s="2">
        <v>0</v>
      </c>
      <c r="Q323" s="21"/>
      <c r="R323" s="21"/>
    </row>
    <row r="324" spans="1:18" x14ac:dyDescent="0.3">
      <c r="A324" s="21"/>
      <c r="B324" s="24">
        <v>45131</v>
      </c>
      <c r="C324" s="2" t="s">
        <v>10</v>
      </c>
      <c r="D324" s="2">
        <v>360</v>
      </c>
      <c r="E324" s="22">
        <f>SUM(D324:D914)-SUM(E327:E914)</f>
        <v>360</v>
      </c>
      <c r="F324" s="2">
        <v>0</v>
      </c>
      <c r="G324" s="22">
        <f>SUM(F324:F914)-SUM(G327:G914)</f>
        <v>3456</v>
      </c>
      <c r="H324" s="2">
        <v>500</v>
      </c>
      <c r="I324" s="22">
        <f>SUM(H324:H914)-SUM(I327:I914)</f>
        <v>800</v>
      </c>
      <c r="J324" s="2">
        <v>1248</v>
      </c>
      <c r="K324" s="22">
        <f>SUM(J324:J914)-SUM(K327:K914)</f>
        <v>3840</v>
      </c>
      <c r="L324" s="2">
        <v>288</v>
      </c>
      <c r="M324" s="22">
        <f>SUM(L324:L914)-SUM(M327:M914)</f>
        <v>816</v>
      </c>
      <c r="N324" s="2">
        <v>200</v>
      </c>
      <c r="O324" s="22">
        <f>SUM(N324:N914)-SUM(O327:O914)</f>
        <v>500</v>
      </c>
      <c r="P324" s="2">
        <v>0</v>
      </c>
      <c r="Q324" s="22">
        <f>SUM(P324:P914)-SUM(Q327:Q914)</f>
        <v>0</v>
      </c>
      <c r="R324" s="21">
        <v>20</v>
      </c>
    </row>
    <row r="325" spans="1:18" x14ac:dyDescent="0.3">
      <c r="A325" s="21"/>
      <c r="B325" s="24"/>
      <c r="C325" s="2" t="s">
        <v>11</v>
      </c>
      <c r="D325" s="2">
        <v>0</v>
      </c>
      <c r="E325" s="21"/>
      <c r="F325" s="2">
        <v>960</v>
      </c>
      <c r="G325" s="21"/>
      <c r="H325" s="2">
        <v>300</v>
      </c>
      <c r="I325" s="21"/>
      <c r="J325" s="2">
        <v>1440</v>
      </c>
      <c r="K325" s="21"/>
      <c r="L325" s="2">
        <v>272</v>
      </c>
      <c r="M325" s="21"/>
      <c r="N325" s="2">
        <v>200</v>
      </c>
      <c r="O325" s="21"/>
      <c r="P325" s="2">
        <v>0</v>
      </c>
      <c r="Q325" s="21"/>
      <c r="R325" s="21"/>
    </row>
    <row r="326" spans="1:18" x14ac:dyDescent="0.3">
      <c r="A326" s="21"/>
      <c r="B326" s="24"/>
      <c r="C326" s="2" t="s">
        <v>12</v>
      </c>
      <c r="D326" s="2">
        <v>0</v>
      </c>
      <c r="E326" s="21"/>
      <c r="F326" s="2">
        <v>2496</v>
      </c>
      <c r="G326" s="21"/>
      <c r="H326" s="2">
        <v>0</v>
      </c>
      <c r="I326" s="21"/>
      <c r="J326" s="2">
        <v>1152</v>
      </c>
      <c r="K326" s="21"/>
      <c r="L326" s="2">
        <v>256</v>
      </c>
      <c r="M326" s="21"/>
      <c r="N326" s="2">
        <v>100</v>
      </c>
      <c r="O326" s="21"/>
      <c r="P326" s="2">
        <v>0</v>
      </c>
      <c r="Q326" s="21"/>
      <c r="R326" s="21"/>
    </row>
    <row r="327" spans="1:18" x14ac:dyDescent="0.3">
      <c r="A327" s="21"/>
      <c r="B327" s="24">
        <v>45132</v>
      </c>
      <c r="C327" s="2" t="s">
        <v>10</v>
      </c>
      <c r="D327" s="2">
        <v>240</v>
      </c>
      <c r="E327" s="22">
        <f>SUM(D327:D917)-SUM(E330:E917)</f>
        <v>240</v>
      </c>
      <c r="F327" s="2">
        <v>2880</v>
      </c>
      <c r="G327" s="22">
        <f>SUM(F327:F917)-SUM(G330:G917)</f>
        <v>7096</v>
      </c>
      <c r="H327" s="2">
        <v>0</v>
      </c>
      <c r="I327" s="22">
        <f>SUM(H327:H917)-SUM(I330:I917)</f>
        <v>0</v>
      </c>
      <c r="J327" s="2">
        <v>0</v>
      </c>
      <c r="K327" s="22">
        <f>SUM(J327:J917)-SUM(K330:K917)</f>
        <v>3072</v>
      </c>
      <c r="L327" s="2">
        <v>256</v>
      </c>
      <c r="M327" s="22">
        <f>SUM(L327:L917)-SUM(M330:M917)</f>
        <v>748</v>
      </c>
      <c r="N327" s="2">
        <v>0</v>
      </c>
      <c r="O327" s="22">
        <f>SUM(N327:N917)-SUM(O330:O917)</f>
        <v>0</v>
      </c>
      <c r="P327" s="2">
        <v>0</v>
      </c>
      <c r="Q327" s="22">
        <f>SUM(P327:P917)-SUM(Q330:Q917)</f>
        <v>0</v>
      </c>
      <c r="R327" s="21">
        <v>82</v>
      </c>
    </row>
    <row r="328" spans="1:18" x14ac:dyDescent="0.3">
      <c r="A328" s="21"/>
      <c r="B328" s="24"/>
      <c r="C328" s="2" t="s">
        <v>11</v>
      </c>
      <c r="D328" s="2">
        <v>0</v>
      </c>
      <c r="E328" s="21"/>
      <c r="F328" s="2">
        <v>2104</v>
      </c>
      <c r="G328" s="21"/>
      <c r="H328" s="2">
        <v>0</v>
      </c>
      <c r="I328" s="21"/>
      <c r="J328" s="2">
        <v>1536</v>
      </c>
      <c r="K328" s="21"/>
      <c r="L328" s="2">
        <v>248</v>
      </c>
      <c r="M328" s="21"/>
      <c r="N328" s="2">
        <v>0</v>
      </c>
      <c r="O328" s="21"/>
      <c r="P328" s="2">
        <v>0</v>
      </c>
      <c r="Q328" s="21"/>
      <c r="R328" s="21"/>
    </row>
    <row r="329" spans="1:18" x14ac:dyDescent="0.3">
      <c r="A329" s="21"/>
      <c r="B329" s="24"/>
      <c r="C329" s="2" t="s">
        <v>12</v>
      </c>
      <c r="D329" s="2">
        <v>0</v>
      </c>
      <c r="E329" s="21"/>
      <c r="F329" s="2">
        <v>2112</v>
      </c>
      <c r="G329" s="21"/>
      <c r="H329" s="2">
        <v>0</v>
      </c>
      <c r="I329" s="21"/>
      <c r="J329" s="2">
        <v>1536</v>
      </c>
      <c r="K329" s="21"/>
      <c r="L329" s="2">
        <v>244</v>
      </c>
      <c r="M329" s="21"/>
      <c r="N329" s="2">
        <v>0</v>
      </c>
      <c r="O329" s="21"/>
      <c r="P329" s="2">
        <v>0</v>
      </c>
      <c r="Q329" s="21"/>
      <c r="R329" s="21"/>
    </row>
    <row r="330" spans="1:18" x14ac:dyDescent="0.3">
      <c r="A330" s="21"/>
      <c r="B330" s="24">
        <v>45133</v>
      </c>
      <c r="C330" s="2" t="s">
        <v>10</v>
      </c>
      <c r="D330" s="2">
        <v>0</v>
      </c>
      <c r="E330" s="22">
        <f>SUM(D330:D920)-SUM(E333:E920)</f>
        <v>680</v>
      </c>
      <c r="F330" s="2">
        <v>1824</v>
      </c>
      <c r="G330" s="22">
        <f>SUM(F330:F920)-SUM(G333:G920)</f>
        <v>6524</v>
      </c>
      <c r="H330" s="2">
        <v>0</v>
      </c>
      <c r="I330" s="22">
        <f>SUM(H330:H920)-SUM(I333:I920)</f>
        <v>0</v>
      </c>
      <c r="J330" s="2">
        <v>960</v>
      </c>
      <c r="K330" s="22">
        <f>SUM(J330:J920)-SUM(K333:K920)</f>
        <v>4042</v>
      </c>
      <c r="L330" s="2">
        <v>248</v>
      </c>
      <c r="M330" s="22">
        <f>SUM(L330:L920)-SUM(M333:M920)</f>
        <v>728</v>
      </c>
      <c r="N330" s="2">
        <v>0</v>
      </c>
      <c r="O330" s="22">
        <f>SUM(N330:N920)-SUM(O333:O920)</f>
        <v>0</v>
      </c>
      <c r="P330" s="2">
        <v>0</v>
      </c>
      <c r="Q330" s="22">
        <f>SUM(P330:P920)-SUM(Q333:Q920)</f>
        <v>0</v>
      </c>
      <c r="R330" s="21">
        <v>39</v>
      </c>
    </row>
    <row r="331" spans="1:18" x14ac:dyDescent="0.3">
      <c r="A331" s="21"/>
      <c r="B331" s="24"/>
      <c r="C331" s="2" t="s">
        <v>11</v>
      </c>
      <c r="D331" s="2">
        <v>160</v>
      </c>
      <c r="E331" s="21"/>
      <c r="F331" s="2">
        <v>2588</v>
      </c>
      <c r="G331" s="21"/>
      <c r="H331" s="2">
        <v>0</v>
      </c>
      <c r="I331" s="21"/>
      <c r="J331" s="2">
        <v>1546</v>
      </c>
      <c r="K331" s="21"/>
      <c r="L331" s="2">
        <v>240</v>
      </c>
      <c r="M331" s="21"/>
      <c r="N331" s="2">
        <v>0</v>
      </c>
      <c r="O331" s="21"/>
      <c r="P331" s="2">
        <v>0</v>
      </c>
      <c r="Q331" s="21"/>
      <c r="R331" s="21"/>
    </row>
    <row r="332" spans="1:18" x14ac:dyDescent="0.3">
      <c r="A332" s="21"/>
      <c r="B332" s="24"/>
      <c r="C332" s="2" t="s">
        <v>12</v>
      </c>
      <c r="D332" s="2">
        <v>520</v>
      </c>
      <c r="E332" s="21"/>
      <c r="F332" s="2">
        <v>2112</v>
      </c>
      <c r="G332" s="21"/>
      <c r="H332" s="2">
        <v>0</v>
      </c>
      <c r="I332" s="21"/>
      <c r="J332" s="2">
        <v>1536</v>
      </c>
      <c r="K332" s="21"/>
      <c r="L332" s="2">
        <v>240</v>
      </c>
      <c r="M332" s="21"/>
      <c r="N332" s="2">
        <v>0</v>
      </c>
      <c r="O332" s="21"/>
      <c r="P332" s="2">
        <v>0</v>
      </c>
      <c r="Q332" s="21"/>
      <c r="R332" s="21"/>
    </row>
    <row r="333" spans="1:18" x14ac:dyDescent="0.3">
      <c r="A333" s="21"/>
      <c r="B333" s="24">
        <v>45134</v>
      </c>
      <c r="C333" s="2" t="s">
        <v>10</v>
      </c>
      <c r="D333" s="2">
        <v>0</v>
      </c>
      <c r="E333" s="22">
        <f>SUM(D333:D923)-SUM(E336:E923)</f>
        <v>160</v>
      </c>
      <c r="F333" s="2">
        <v>2496</v>
      </c>
      <c r="G333" s="22">
        <f>SUM(F333:F923)-SUM(G336:G923)</f>
        <v>8256</v>
      </c>
      <c r="H333" s="2">
        <v>0</v>
      </c>
      <c r="I333" s="22">
        <f>SUM(H333:H923)-SUM(I336:I923)</f>
        <v>100</v>
      </c>
      <c r="J333" s="2">
        <v>1248</v>
      </c>
      <c r="K333" s="22">
        <f>SUM(J333:J923)-SUM(K336:K923)</f>
        <v>3240</v>
      </c>
      <c r="L333" s="2">
        <v>232</v>
      </c>
      <c r="M333" s="22">
        <f>SUM(L333:L923)-SUM(M336:M923)</f>
        <v>695</v>
      </c>
      <c r="N333" s="2">
        <v>100</v>
      </c>
      <c r="O333" s="22">
        <f>SUM(N333:N923)-SUM(O336:O923)</f>
        <v>100</v>
      </c>
      <c r="P333" s="2">
        <v>0</v>
      </c>
      <c r="Q333" s="22">
        <f>SUM(P333:P923)-SUM(Q336:Q923)</f>
        <v>0</v>
      </c>
      <c r="R333" s="21">
        <v>50</v>
      </c>
    </row>
    <row r="334" spans="1:18" x14ac:dyDescent="0.3">
      <c r="A334" s="21"/>
      <c r="B334" s="24"/>
      <c r="C334" s="2" t="s">
        <v>11</v>
      </c>
      <c r="D334" s="2">
        <v>160</v>
      </c>
      <c r="E334" s="21"/>
      <c r="F334" s="2">
        <v>2688</v>
      </c>
      <c r="G334" s="21"/>
      <c r="H334" s="2">
        <v>0</v>
      </c>
      <c r="I334" s="21"/>
      <c r="J334" s="2">
        <v>1200</v>
      </c>
      <c r="K334" s="21"/>
      <c r="L334" s="2">
        <v>232</v>
      </c>
      <c r="M334" s="21"/>
      <c r="N334" s="2">
        <v>0</v>
      </c>
      <c r="O334" s="21"/>
      <c r="P334" s="2">
        <v>0</v>
      </c>
      <c r="Q334" s="21"/>
      <c r="R334" s="21"/>
    </row>
    <row r="335" spans="1:18" x14ac:dyDescent="0.3">
      <c r="A335" s="21"/>
      <c r="B335" s="24"/>
      <c r="C335" s="2" t="s">
        <v>12</v>
      </c>
      <c r="D335" s="2">
        <v>0</v>
      </c>
      <c r="E335" s="21"/>
      <c r="F335" s="2">
        <v>3072</v>
      </c>
      <c r="G335" s="21"/>
      <c r="H335" s="2">
        <v>100</v>
      </c>
      <c r="I335" s="21"/>
      <c r="J335" s="2">
        <v>792</v>
      </c>
      <c r="K335" s="21"/>
      <c r="L335" s="2">
        <v>231</v>
      </c>
      <c r="M335" s="21"/>
      <c r="N335" s="2">
        <v>0</v>
      </c>
      <c r="O335" s="21"/>
      <c r="P335" s="2">
        <v>0</v>
      </c>
      <c r="Q335" s="21"/>
      <c r="R335" s="21"/>
    </row>
    <row r="336" spans="1:18" x14ac:dyDescent="0.3">
      <c r="A336" s="21"/>
      <c r="B336" s="24">
        <v>45135</v>
      </c>
      <c r="C336" s="2" t="s">
        <v>10</v>
      </c>
      <c r="D336" s="2">
        <v>0</v>
      </c>
      <c r="E336" s="22">
        <f>SUM(D336:D926)-SUM(E339:E926)</f>
        <v>120</v>
      </c>
      <c r="F336" s="2">
        <v>2683</v>
      </c>
      <c r="G336" s="22">
        <f>SUM(F336:F926)-SUM(G339:G926)</f>
        <v>4769</v>
      </c>
      <c r="H336" s="2">
        <v>0</v>
      </c>
      <c r="I336" s="22">
        <f>SUM(H336:H926)-SUM(I339:I926)</f>
        <v>0</v>
      </c>
      <c r="J336" s="2">
        <v>792</v>
      </c>
      <c r="K336" s="22">
        <f>SUM(J336:J926)-SUM(K339:K926)</f>
        <v>4680</v>
      </c>
      <c r="L336" s="2">
        <v>234</v>
      </c>
      <c r="M336" s="22">
        <f>SUM(L336:L926)-SUM(M339:M926)</f>
        <v>703</v>
      </c>
      <c r="N336" s="2">
        <v>0</v>
      </c>
      <c r="O336" s="22">
        <f>SUM(N336:N926)-SUM(O339:O926)</f>
        <v>0</v>
      </c>
      <c r="P336" s="2">
        <v>0</v>
      </c>
      <c r="Q336" s="22">
        <f>SUM(P336:P926)-SUM(Q339:Q926)</f>
        <v>0</v>
      </c>
      <c r="R336" s="21">
        <v>20</v>
      </c>
    </row>
    <row r="337" spans="1:18" x14ac:dyDescent="0.3">
      <c r="A337" s="21"/>
      <c r="B337" s="24"/>
      <c r="C337" s="2" t="s">
        <v>11</v>
      </c>
      <c r="D337" s="2">
        <v>120</v>
      </c>
      <c r="E337" s="21"/>
      <c r="F337" s="2">
        <v>1056</v>
      </c>
      <c r="G337" s="21"/>
      <c r="H337" s="2">
        <v>0</v>
      </c>
      <c r="I337" s="21"/>
      <c r="J337" s="2">
        <v>1728</v>
      </c>
      <c r="K337" s="21"/>
      <c r="L337" s="2">
        <v>240</v>
      </c>
      <c r="M337" s="21"/>
      <c r="N337" s="2">
        <v>0</v>
      </c>
      <c r="O337" s="21"/>
      <c r="P337" s="2">
        <v>0</v>
      </c>
      <c r="Q337" s="21"/>
      <c r="R337" s="21"/>
    </row>
    <row r="338" spans="1:18" x14ac:dyDescent="0.3">
      <c r="A338" s="21"/>
      <c r="B338" s="24"/>
      <c r="C338" s="2" t="s">
        <v>12</v>
      </c>
      <c r="D338" s="2">
        <v>0</v>
      </c>
      <c r="E338" s="21"/>
      <c r="F338" s="2">
        <v>1030</v>
      </c>
      <c r="G338" s="21"/>
      <c r="H338" s="2">
        <v>0</v>
      </c>
      <c r="I338" s="21"/>
      <c r="J338" s="2">
        <v>2160</v>
      </c>
      <c r="K338" s="21"/>
      <c r="L338" s="2">
        <v>229</v>
      </c>
      <c r="M338" s="21"/>
      <c r="N338" s="2">
        <v>0</v>
      </c>
      <c r="O338" s="21"/>
      <c r="P338" s="2">
        <v>0</v>
      </c>
      <c r="Q338" s="21"/>
      <c r="R338" s="21"/>
    </row>
    <row r="339" spans="1:18" x14ac:dyDescent="0.3">
      <c r="A339" s="21"/>
      <c r="B339" s="24">
        <v>45136</v>
      </c>
      <c r="C339" s="2" t="s">
        <v>10</v>
      </c>
      <c r="D339" s="2">
        <v>0</v>
      </c>
      <c r="E339" s="22">
        <f>SUM(D339:D929)-SUM(E342:E929)</f>
        <v>250</v>
      </c>
      <c r="F339" s="2">
        <v>2256</v>
      </c>
      <c r="G339" s="22">
        <f>SUM(F339:F929)-SUM(G342:G929)</f>
        <v>8762</v>
      </c>
      <c r="H339" s="2">
        <v>0</v>
      </c>
      <c r="I339" s="22">
        <f>SUM(H339:H929)-SUM(I342:I929)</f>
        <v>0</v>
      </c>
      <c r="J339" s="2">
        <v>1248</v>
      </c>
      <c r="K339" s="22">
        <f>SUM(J339:J929)-SUM(K342:K929)</f>
        <v>4128</v>
      </c>
      <c r="L339" s="2">
        <v>236</v>
      </c>
      <c r="M339" s="22">
        <f>SUM(L339:L929)-SUM(M342:M929)</f>
        <v>697</v>
      </c>
      <c r="N339" s="2">
        <v>0</v>
      </c>
      <c r="O339" s="22">
        <f>SUM(N339:N929)-SUM(O342:O929)</f>
        <v>0</v>
      </c>
      <c r="P339" s="2">
        <v>0</v>
      </c>
      <c r="Q339" s="22">
        <f>SUM(P339:P929)-SUM(Q342:Q929)</f>
        <v>0</v>
      </c>
      <c r="R339" s="21">
        <v>34</v>
      </c>
    </row>
    <row r="340" spans="1:18" x14ac:dyDescent="0.3">
      <c r="A340" s="21"/>
      <c r="B340" s="24"/>
      <c r="C340" s="2" t="s">
        <v>11</v>
      </c>
      <c r="D340" s="2">
        <v>0</v>
      </c>
      <c r="E340" s="21"/>
      <c r="F340" s="2">
        <v>2330</v>
      </c>
      <c r="G340" s="21"/>
      <c r="H340" s="2">
        <v>0</v>
      </c>
      <c r="I340" s="21"/>
      <c r="J340" s="2">
        <v>1248</v>
      </c>
      <c r="K340" s="21"/>
      <c r="L340" s="2">
        <v>232</v>
      </c>
      <c r="M340" s="21"/>
      <c r="N340" s="2">
        <v>0</v>
      </c>
      <c r="O340" s="21"/>
      <c r="P340" s="2">
        <v>0</v>
      </c>
      <c r="Q340" s="21"/>
      <c r="R340" s="21"/>
    </row>
    <row r="341" spans="1:18" x14ac:dyDescent="0.3">
      <c r="A341" s="21"/>
      <c r="B341" s="24"/>
      <c r="C341" s="2" t="s">
        <v>12</v>
      </c>
      <c r="D341" s="2">
        <v>250</v>
      </c>
      <c r="E341" s="21"/>
      <c r="F341" s="2">
        <v>4176</v>
      </c>
      <c r="G341" s="21"/>
      <c r="H341" s="2">
        <v>0</v>
      </c>
      <c r="I341" s="21"/>
      <c r="J341" s="2">
        <v>1632</v>
      </c>
      <c r="K341" s="21"/>
      <c r="L341" s="2">
        <v>229</v>
      </c>
      <c r="M341" s="21"/>
      <c r="N341" s="2">
        <v>0</v>
      </c>
      <c r="O341" s="21"/>
      <c r="P341" s="2">
        <v>0</v>
      </c>
      <c r="Q341" s="21"/>
      <c r="R341" s="21"/>
    </row>
    <row r="342" spans="1:18" x14ac:dyDescent="0.3">
      <c r="A342" s="21"/>
      <c r="B342" s="24">
        <v>45137</v>
      </c>
      <c r="C342" s="2" t="s">
        <v>10</v>
      </c>
      <c r="D342" s="2">
        <v>0</v>
      </c>
      <c r="E342" s="22">
        <f>SUM(D342:D932)-SUM(E345:E932)</f>
        <v>40</v>
      </c>
      <c r="F342" s="2">
        <v>1484</v>
      </c>
      <c r="G342" s="22">
        <f>SUM(F342:F932)-SUM(G345:G932)</f>
        <v>4508</v>
      </c>
      <c r="H342" s="2">
        <v>0</v>
      </c>
      <c r="I342" s="22">
        <f>SUM(H342:H932)-SUM(I345:I932)</f>
        <v>0</v>
      </c>
      <c r="J342" s="2">
        <v>960</v>
      </c>
      <c r="K342" s="22">
        <f>SUM(J342:J932)-SUM(K345:K932)</f>
        <v>4320</v>
      </c>
      <c r="L342" s="2">
        <v>232</v>
      </c>
      <c r="M342" s="22">
        <f>SUM(L342:L932)-SUM(M345:M932)</f>
        <v>685</v>
      </c>
      <c r="N342" s="2">
        <v>0</v>
      </c>
      <c r="O342" s="22">
        <f>SUM(N342:N932)-SUM(O345:O932)</f>
        <v>0</v>
      </c>
      <c r="P342" s="2">
        <v>0</v>
      </c>
      <c r="Q342" s="22">
        <f>SUM(P342:P932)-SUM(Q345:Q932)</f>
        <v>0</v>
      </c>
      <c r="R342" s="21">
        <v>82</v>
      </c>
    </row>
    <row r="343" spans="1:18" x14ac:dyDescent="0.3">
      <c r="A343" s="21"/>
      <c r="B343" s="24"/>
      <c r="C343" s="2" t="s">
        <v>11</v>
      </c>
      <c r="D343" s="2">
        <v>0</v>
      </c>
      <c r="E343" s="21"/>
      <c r="F343" s="2">
        <v>864</v>
      </c>
      <c r="G343" s="21"/>
      <c r="H343" s="2">
        <v>0</v>
      </c>
      <c r="I343" s="21"/>
      <c r="J343" s="2">
        <v>1536</v>
      </c>
      <c r="K343" s="21"/>
      <c r="L343" s="2">
        <v>232</v>
      </c>
      <c r="M343" s="21"/>
      <c r="N343" s="2">
        <v>0</v>
      </c>
      <c r="O343" s="21"/>
      <c r="P343" s="2">
        <v>0</v>
      </c>
      <c r="Q343" s="21"/>
      <c r="R343" s="21"/>
    </row>
    <row r="344" spans="1:18" x14ac:dyDescent="0.3">
      <c r="A344" s="21"/>
      <c r="B344" s="24"/>
      <c r="C344" s="2" t="s">
        <v>12</v>
      </c>
      <c r="D344" s="2">
        <v>40</v>
      </c>
      <c r="E344" s="21"/>
      <c r="F344" s="2">
        <v>2160</v>
      </c>
      <c r="G344" s="21"/>
      <c r="H344" s="2">
        <v>0</v>
      </c>
      <c r="I344" s="21"/>
      <c r="J344" s="2">
        <v>1824</v>
      </c>
      <c r="K344" s="21"/>
      <c r="L344" s="2">
        <v>221</v>
      </c>
      <c r="M344" s="21"/>
      <c r="N344" s="2">
        <v>0</v>
      </c>
      <c r="O344" s="21"/>
      <c r="P344" s="2">
        <v>0</v>
      </c>
      <c r="Q344" s="21"/>
      <c r="R344" s="21"/>
    </row>
    <row r="345" spans="1:18" x14ac:dyDescent="0.3">
      <c r="A345" s="21"/>
      <c r="B345" s="24">
        <v>45138</v>
      </c>
      <c r="C345" s="2" t="s">
        <v>10</v>
      </c>
      <c r="D345" s="2">
        <v>0</v>
      </c>
      <c r="E345" s="22">
        <f>SUM(D345:D935)-SUM(E348:E935)</f>
        <v>0</v>
      </c>
      <c r="F345" s="2">
        <v>2488</v>
      </c>
      <c r="G345" s="22">
        <f>SUM(F345:F935)-SUM(G348:G935)</f>
        <v>7252</v>
      </c>
      <c r="H345" s="2">
        <v>0</v>
      </c>
      <c r="I345" s="22">
        <f>SUM(H345:H935)-SUM(I348:I935)</f>
        <v>850</v>
      </c>
      <c r="J345" s="2">
        <v>1968</v>
      </c>
      <c r="K345" s="22">
        <f>SUM(J345:J935)-SUM(K348:K935)</f>
        <v>6444</v>
      </c>
      <c r="L345" s="2">
        <v>232</v>
      </c>
      <c r="M345" s="22">
        <f>SUM(L345:L935)-SUM(M348:M935)</f>
        <v>712</v>
      </c>
      <c r="N345" s="2">
        <v>0</v>
      </c>
      <c r="O345" s="22">
        <f>SUM(N345:N935)-SUM(O348:O935)</f>
        <v>0</v>
      </c>
      <c r="P345" s="2">
        <v>0</v>
      </c>
      <c r="Q345" s="22">
        <f>SUM(P345:P935)-SUM(Q348:Q935)</f>
        <v>0</v>
      </c>
      <c r="R345" s="21">
        <v>107</v>
      </c>
    </row>
    <row r="346" spans="1:18" x14ac:dyDescent="0.3">
      <c r="A346" s="21"/>
      <c r="B346" s="24"/>
      <c r="C346" s="2" t="s">
        <v>11</v>
      </c>
      <c r="D346" s="2">
        <v>0</v>
      </c>
      <c r="E346" s="21"/>
      <c r="F346" s="2">
        <v>2928</v>
      </c>
      <c r="G346" s="21"/>
      <c r="H346" s="2">
        <v>300</v>
      </c>
      <c r="I346" s="21"/>
      <c r="J346" s="2">
        <v>2508</v>
      </c>
      <c r="K346" s="21"/>
      <c r="L346" s="2">
        <v>232</v>
      </c>
      <c r="M346" s="21"/>
      <c r="N346" s="2">
        <v>0</v>
      </c>
      <c r="O346" s="21"/>
      <c r="P346" s="2">
        <v>0</v>
      </c>
      <c r="Q346" s="21"/>
      <c r="R346" s="21"/>
    </row>
    <row r="347" spans="1:18" x14ac:dyDescent="0.3">
      <c r="A347" s="21"/>
      <c r="B347" s="24"/>
      <c r="C347" s="2" t="s">
        <v>12</v>
      </c>
      <c r="D347" s="2">
        <v>0</v>
      </c>
      <c r="E347" s="21"/>
      <c r="F347" s="2">
        <v>1836</v>
      </c>
      <c r="G347" s="21"/>
      <c r="H347" s="2">
        <v>550</v>
      </c>
      <c r="I347" s="21"/>
      <c r="J347" s="2">
        <v>1968</v>
      </c>
      <c r="K347" s="21"/>
      <c r="L347" s="2">
        <v>248</v>
      </c>
      <c r="M347" s="21"/>
      <c r="N347" s="2">
        <v>0</v>
      </c>
      <c r="O347" s="21"/>
      <c r="P347" s="2">
        <v>0</v>
      </c>
      <c r="Q347" s="21"/>
      <c r="R347" s="21"/>
    </row>
    <row r="348" spans="1:18" x14ac:dyDescent="0.3">
      <c r="A348" s="21" t="s">
        <v>22</v>
      </c>
      <c r="B348" s="24">
        <v>45139</v>
      </c>
      <c r="C348" s="2" t="s">
        <v>10</v>
      </c>
      <c r="D348" s="2">
        <v>0</v>
      </c>
      <c r="E348" s="22">
        <f>SUM(D348:D938)-SUM(E351:E938)</f>
        <v>440</v>
      </c>
      <c r="F348" s="2">
        <v>2232</v>
      </c>
      <c r="G348" s="22">
        <f>SUM(F348:F938)-SUM(G351:G938)</f>
        <v>12264</v>
      </c>
      <c r="H348" s="2">
        <v>600</v>
      </c>
      <c r="I348" s="22">
        <f>SUM(H348:H938)-SUM(I351:I938)</f>
        <v>600</v>
      </c>
      <c r="J348" s="2">
        <v>1974</v>
      </c>
      <c r="K348" s="22">
        <f>SUM(J348:J938)-SUM(K351:K938)</f>
        <v>4428</v>
      </c>
      <c r="L348" s="2">
        <v>212</v>
      </c>
      <c r="M348" s="22">
        <f>SUM(L348:L938)-SUM(M351:M938)</f>
        <v>676</v>
      </c>
      <c r="N348" s="2">
        <v>0</v>
      </c>
      <c r="O348" s="22">
        <f>SUM(N348:N938)-SUM(O351:O938)</f>
        <v>0</v>
      </c>
      <c r="P348" s="2">
        <v>0</v>
      </c>
      <c r="Q348" s="22">
        <f>SUM(P348:P938)-SUM(Q351:Q938)</f>
        <v>0</v>
      </c>
      <c r="R348" s="21">
        <v>126</v>
      </c>
    </row>
    <row r="349" spans="1:18" x14ac:dyDescent="0.3">
      <c r="A349" s="21"/>
      <c r="B349" s="24"/>
      <c r="C349" s="2" t="s">
        <v>11</v>
      </c>
      <c r="D349" s="2">
        <v>360</v>
      </c>
      <c r="E349" s="21"/>
      <c r="F349" s="2">
        <v>5760</v>
      </c>
      <c r="G349" s="21"/>
      <c r="H349" s="2">
        <v>0</v>
      </c>
      <c r="I349" s="21"/>
      <c r="J349" s="2">
        <v>1344</v>
      </c>
      <c r="K349" s="21"/>
      <c r="L349" s="2">
        <v>232</v>
      </c>
      <c r="M349" s="21"/>
      <c r="N349" s="2">
        <v>0</v>
      </c>
      <c r="O349" s="21"/>
      <c r="P349" s="2">
        <v>0</v>
      </c>
      <c r="Q349" s="21"/>
      <c r="R349" s="21"/>
    </row>
    <row r="350" spans="1:18" x14ac:dyDescent="0.3">
      <c r="A350" s="21"/>
      <c r="B350" s="24"/>
      <c r="C350" s="2" t="s">
        <v>12</v>
      </c>
      <c r="D350" s="2">
        <v>80</v>
      </c>
      <c r="E350" s="21"/>
      <c r="F350" s="2">
        <v>4272</v>
      </c>
      <c r="G350" s="21"/>
      <c r="H350" s="2">
        <v>0</v>
      </c>
      <c r="I350" s="21"/>
      <c r="J350" s="2">
        <v>1110</v>
      </c>
      <c r="K350" s="21"/>
      <c r="L350" s="2">
        <v>232</v>
      </c>
      <c r="M350" s="21"/>
      <c r="N350" s="2">
        <v>0</v>
      </c>
      <c r="O350" s="21"/>
      <c r="P350" s="2">
        <v>0</v>
      </c>
      <c r="Q350" s="21"/>
      <c r="R350" s="21"/>
    </row>
    <row r="351" spans="1:18" x14ac:dyDescent="0.3">
      <c r="A351" s="21"/>
      <c r="B351" s="24">
        <v>45140</v>
      </c>
      <c r="C351" s="2" t="s">
        <v>10</v>
      </c>
      <c r="D351" s="2">
        <v>660</v>
      </c>
      <c r="E351" s="22">
        <f>SUM(D351:D941)-SUM(E354:E941)</f>
        <v>820</v>
      </c>
      <c r="F351" s="2">
        <v>3526</v>
      </c>
      <c r="G351" s="22">
        <f>SUM(F351:F941)-SUM(G354:G941)</f>
        <v>8134</v>
      </c>
      <c r="H351" s="2">
        <v>700</v>
      </c>
      <c r="I351" s="22">
        <f>SUM(H351:H941)-SUM(I354:I941)</f>
        <v>5000</v>
      </c>
      <c r="J351" s="2">
        <v>0</v>
      </c>
      <c r="K351" s="22">
        <f>SUM(J351:J941)-SUM(K354:K941)</f>
        <v>0</v>
      </c>
      <c r="L351" s="2">
        <v>340</v>
      </c>
      <c r="M351" s="22">
        <f>SUM(L351:L941)-SUM(M354:M941)</f>
        <v>796</v>
      </c>
      <c r="N351" s="2">
        <v>0</v>
      </c>
      <c r="O351" s="22">
        <f>SUM(N351:N941)-SUM(O354:O941)</f>
        <v>0</v>
      </c>
      <c r="P351" s="2">
        <v>0</v>
      </c>
      <c r="Q351" s="22">
        <f>SUM(P351:P941)-SUM(Q354:Q941)</f>
        <v>0</v>
      </c>
      <c r="R351" s="21">
        <v>230</v>
      </c>
    </row>
    <row r="352" spans="1:18" x14ac:dyDescent="0.3">
      <c r="A352" s="21"/>
      <c r="B352" s="24"/>
      <c r="C352" s="2" t="s">
        <v>11</v>
      </c>
      <c r="D352" s="2">
        <v>0</v>
      </c>
      <c r="E352" s="21"/>
      <c r="F352" s="2">
        <v>2304</v>
      </c>
      <c r="G352" s="21"/>
      <c r="H352" s="2">
        <v>2350</v>
      </c>
      <c r="I352" s="21"/>
      <c r="J352" s="2">
        <v>0</v>
      </c>
      <c r="K352" s="21"/>
      <c r="L352" s="2">
        <v>224</v>
      </c>
      <c r="M352" s="21"/>
      <c r="N352" s="2">
        <v>0</v>
      </c>
      <c r="O352" s="21"/>
      <c r="P352" s="2">
        <v>0</v>
      </c>
      <c r="Q352" s="21"/>
      <c r="R352" s="21"/>
    </row>
    <row r="353" spans="1:18" x14ac:dyDescent="0.3">
      <c r="A353" s="21"/>
      <c r="B353" s="24"/>
      <c r="C353" s="2" t="s">
        <v>12</v>
      </c>
      <c r="D353" s="2">
        <v>160</v>
      </c>
      <c r="E353" s="21"/>
      <c r="F353" s="2">
        <v>2304</v>
      </c>
      <c r="G353" s="21"/>
      <c r="H353" s="2">
        <v>1950</v>
      </c>
      <c r="I353" s="21"/>
      <c r="J353" s="2">
        <v>0</v>
      </c>
      <c r="K353" s="21"/>
      <c r="L353" s="2">
        <v>232</v>
      </c>
      <c r="M353" s="21"/>
      <c r="N353" s="2">
        <v>0</v>
      </c>
      <c r="O353" s="21"/>
      <c r="P353" s="2">
        <v>0</v>
      </c>
      <c r="Q353" s="21"/>
      <c r="R353" s="21"/>
    </row>
    <row r="354" spans="1:18" x14ac:dyDescent="0.3">
      <c r="A354" s="21"/>
      <c r="B354" s="23">
        <v>45141</v>
      </c>
      <c r="C354" s="2" t="s">
        <v>10</v>
      </c>
      <c r="D354" s="2">
        <v>880</v>
      </c>
      <c r="E354" s="26">
        <f>SUM(D354:D944)-SUM(E357:E944)</f>
        <v>1600</v>
      </c>
      <c r="F354" s="2">
        <v>2784</v>
      </c>
      <c r="G354" s="26">
        <f>SUM(F354:F944)-SUM(G357:G944)</f>
        <v>18480</v>
      </c>
      <c r="H354" s="2">
        <v>1700</v>
      </c>
      <c r="I354" s="26">
        <f>SUM(H354:H944)-SUM(I357:I944)</f>
        <v>4150</v>
      </c>
      <c r="J354" s="2">
        <v>0</v>
      </c>
      <c r="K354" s="26">
        <f>SUM(J354:J944)-SUM(K357:K944)</f>
        <v>0</v>
      </c>
      <c r="L354" s="2">
        <v>208</v>
      </c>
      <c r="M354" s="26">
        <f>SUM(L354:L944)-SUM(M357:M944)</f>
        <v>616</v>
      </c>
      <c r="N354" s="2">
        <v>0</v>
      </c>
      <c r="O354" s="26">
        <f>SUM(N354:N944)-SUM(O357:O944)</f>
        <v>0</v>
      </c>
      <c r="P354" s="2">
        <v>0</v>
      </c>
      <c r="Q354" s="26">
        <f>SUM(P354:P944)-SUM(Q357:Q944)</f>
        <v>0</v>
      </c>
      <c r="R354" s="21">
        <v>387</v>
      </c>
    </row>
    <row r="355" spans="1:18" x14ac:dyDescent="0.3">
      <c r="A355" s="21"/>
      <c r="B355" s="23"/>
      <c r="C355" s="2" t="s">
        <v>11</v>
      </c>
      <c r="D355" s="2">
        <v>560</v>
      </c>
      <c r="E355" s="27"/>
      <c r="F355" s="2">
        <v>9072</v>
      </c>
      <c r="G355" s="27"/>
      <c r="H355" s="2">
        <v>800</v>
      </c>
      <c r="I355" s="27"/>
      <c r="J355" s="2">
        <v>0</v>
      </c>
      <c r="K355" s="27"/>
      <c r="L355" s="2">
        <v>208</v>
      </c>
      <c r="M355" s="27"/>
      <c r="N355" s="2">
        <v>0</v>
      </c>
      <c r="O355" s="27"/>
      <c r="P355" s="2">
        <v>0</v>
      </c>
      <c r="Q355" s="27"/>
      <c r="R355" s="21"/>
    </row>
    <row r="356" spans="1:18" x14ac:dyDescent="0.3">
      <c r="A356" s="21"/>
      <c r="B356" s="23"/>
      <c r="C356" s="2" t="s">
        <v>12</v>
      </c>
      <c r="D356" s="2">
        <v>160</v>
      </c>
      <c r="E356" s="27"/>
      <c r="F356" s="2">
        <v>6624</v>
      </c>
      <c r="G356" s="27"/>
      <c r="H356" s="2">
        <v>1650</v>
      </c>
      <c r="I356" s="27"/>
      <c r="J356" s="2">
        <v>0</v>
      </c>
      <c r="K356" s="27"/>
      <c r="L356" s="2">
        <v>200</v>
      </c>
      <c r="M356" s="27"/>
      <c r="N356" s="2">
        <v>0</v>
      </c>
      <c r="O356" s="27"/>
      <c r="P356" s="2">
        <v>0</v>
      </c>
      <c r="Q356" s="27"/>
      <c r="R356" s="21"/>
    </row>
    <row r="357" spans="1:18" x14ac:dyDescent="0.3">
      <c r="A357" s="21"/>
      <c r="B357" s="24">
        <v>45142</v>
      </c>
      <c r="C357" s="2" t="s">
        <v>10</v>
      </c>
      <c r="D357" s="2">
        <v>280</v>
      </c>
      <c r="E357" s="22">
        <f>SUM(D357:D947)-SUM(E360:E947)</f>
        <v>620</v>
      </c>
      <c r="F357" s="2">
        <v>0</v>
      </c>
      <c r="G357" s="22">
        <f>SUM(F357:F947)-SUM(G360:G947)</f>
        <v>0</v>
      </c>
      <c r="H357" s="2">
        <v>2950</v>
      </c>
      <c r="I357" s="22">
        <f>SUM(H357:H947)-SUM(I360:I947)</f>
        <v>4650</v>
      </c>
      <c r="J357" s="2">
        <v>488</v>
      </c>
      <c r="K357" s="22">
        <f>SUM(J357:J947)-SUM(K360:K947)</f>
        <v>6344</v>
      </c>
      <c r="L357" s="2">
        <v>200</v>
      </c>
      <c r="M357" s="22">
        <f>SUM(L357:L947)-SUM(M360:M947)</f>
        <v>632</v>
      </c>
      <c r="N357" s="2">
        <v>0</v>
      </c>
      <c r="O357" s="22">
        <f>SUM(N357:N947)-SUM(O360:O947)</f>
        <v>0</v>
      </c>
      <c r="P357" s="2">
        <v>0</v>
      </c>
      <c r="Q357" s="22">
        <f>SUM(P357:P947)-SUM(Q360:Q947)</f>
        <v>0</v>
      </c>
      <c r="R357" s="21">
        <v>266</v>
      </c>
    </row>
    <row r="358" spans="1:18" x14ac:dyDescent="0.3">
      <c r="A358" s="21"/>
      <c r="B358" s="24"/>
      <c r="C358" s="2" t="s">
        <v>11</v>
      </c>
      <c r="D358" s="2">
        <v>340</v>
      </c>
      <c r="E358" s="21"/>
      <c r="F358" s="2">
        <v>0</v>
      </c>
      <c r="G358" s="21"/>
      <c r="H358" s="2">
        <v>1200</v>
      </c>
      <c r="I358" s="21"/>
      <c r="J358" s="2">
        <v>2928</v>
      </c>
      <c r="K358" s="21"/>
      <c r="L358" s="2">
        <v>216</v>
      </c>
      <c r="M358" s="21"/>
      <c r="N358" s="2">
        <v>0</v>
      </c>
      <c r="O358" s="21"/>
      <c r="P358" s="2">
        <v>0</v>
      </c>
      <c r="Q358" s="21"/>
      <c r="R358" s="21"/>
    </row>
    <row r="359" spans="1:18" x14ac:dyDescent="0.3">
      <c r="A359" s="21"/>
      <c r="B359" s="24"/>
      <c r="C359" s="2" t="s">
        <v>12</v>
      </c>
      <c r="D359" s="2">
        <v>0</v>
      </c>
      <c r="E359" s="21"/>
      <c r="F359" s="2">
        <v>0</v>
      </c>
      <c r="G359" s="21"/>
      <c r="H359" s="2">
        <v>500</v>
      </c>
      <c r="I359" s="21"/>
      <c r="J359" s="2">
        <v>2928</v>
      </c>
      <c r="K359" s="21"/>
      <c r="L359" s="2">
        <v>216</v>
      </c>
      <c r="M359" s="21"/>
      <c r="N359" s="2">
        <v>0</v>
      </c>
      <c r="O359" s="21"/>
      <c r="P359" s="2">
        <v>0</v>
      </c>
      <c r="Q359" s="21"/>
      <c r="R359" s="21"/>
    </row>
    <row r="360" spans="1:18" x14ac:dyDescent="0.3">
      <c r="A360" s="21"/>
      <c r="B360" s="24">
        <v>45143</v>
      </c>
      <c r="C360" s="2" t="s">
        <v>10</v>
      </c>
      <c r="D360" s="2">
        <v>360</v>
      </c>
      <c r="E360" s="22">
        <f>SUM(D360:D950)-SUM(E363:E950)</f>
        <v>1320</v>
      </c>
      <c r="F360" s="2">
        <v>0</v>
      </c>
      <c r="G360" s="22">
        <f>SUM(F360:F950)-SUM(G363:G950)</f>
        <v>6960</v>
      </c>
      <c r="H360" s="2">
        <v>950</v>
      </c>
      <c r="I360" s="22">
        <f>SUM(H360:H950)-SUM(I363:I950)</f>
        <v>1350</v>
      </c>
      <c r="J360" s="2">
        <v>2718</v>
      </c>
      <c r="K360" s="22">
        <f>SUM(J360:J950)-SUM(K363:K950)</f>
        <v>5502</v>
      </c>
      <c r="L360" s="2">
        <v>192</v>
      </c>
      <c r="M360" s="22">
        <f>SUM(L360:L950)-SUM(M363:M950)</f>
        <v>592</v>
      </c>
      <c r="N360" s="2">
        <v>0</v>
      </c>
      <c r="O360" s="22">
        <f>SUM(N360:N950)-SUM(O363:O950)</f>
        <v>0</v>
      </c>
      <c r="P360" s="2">
        <v>0</v>
      </c>
      <c r="Q360" s="22">
        <f>SUM(P360:P950)-SUM(Q363:Q950)</f>
        <v>0</v>
      </c>
      <c r="R360" s="21">
        <v>190</v>
      </c>
    </row>
    <row r="361" spans="1:18" x14ac:dyDescent="0.3">
      <c r="A361" s="21"/>
      <c r="B361" s="24"/>
      <c r="C361" s="2" t="s">
        <v>11</v>
      </c>
      <c r="D361" s="2">
        <v>560</v>
      </c>
      <c r="E361" s="21"/>
      <c r="F361" s="2">
        <v>3024</v>
      </c>
      <c r="G361" s="21"/>
      <c r="H361" s="2">
        <v>400</v>
      </c>
      <c r="I361" s="21"/>
      <c r="J361" s="2">
        <v>1392</v>
      </c>
      <c r="K361" s="21"/>
      <c r="L361" s="2">
        <v>200</v>
      </c>
      <c r="M361" s="21"/>
      <c r="N361" s="2">
        <v>0</v>
      </c>
      <c r="O361" s="21"/>
      <c r="P361" s="2">
        <v>0</v>
      </c>
      <c r="Q361" s="21"/>
      <c r="R361" s="21"/>
    </row>
    <row r="362" spans="1:18" x14ac:dyDescent="0.3">
      <c r="A362" s="21"/>
      <c r="B362" s="24"/>
      <c r="C362" s="2" t="s">
        <v>12</v>
      </c>
      <c r="D362" s="2">
        <v>400</v>
      </c>
      <c r="E362" s="21"/>
      <c r="F362" s="2">
        <v>3936</v>
      </c>
      <c r="G362" s="21"/>
      <c r="H362" s="2">
        <v>0</v>
      </c>
      <c r="I362" s="21"/>
      <c r="J362" s="2">
        <v>1392</v>
      </c>
      <c r="K362" s="21"/>
      <c r="L362" s="2">
        <v>200</v>
      </c>
      <c r="M362" s="21"/>
      <c r="N362" s="2">
        <v>0</v>
      </c>
      <c r="O362" s="21"/>
      <c r="P362" s="2">
        <v>0</v>
      </c>
      <c r="Q362" s="21"/>
      <c r="R362" s="21"/>
    </row>
    <row r="363" spans="1:18" x14ac:dyDescent="0.3">
      <c r="A363" s="21"/>
      <c r="B363" s="24">
        <v>45144</v>
      </c>
      <c r="C363" s="2" t="s">
        <v>10</v>
      </c>
      <c r="D363" s="2">
        <v>600</v>
      </c>
      <c r="E363" s="22">
        <f>SUM(D363:D953)-SUM(E366:E953)</f>
        <v>860</v>
      </c>
      <c r="F363" s="2">
        <v>3802</v>
      </c>
      <c r="G363" s="22">
        <f>SUM(F363:F953)-SUM(G366:G953)</f>
        <v>10666</v>
      </c>
      <c r="H363" s="2">
        <v>0</v>
      </c>
      <c r="I363" s="22">
        <f>SUM(H363:H953)-SUM(I366:I953)</f>
        <v>800</v>
      </c>
      <c r="J363" s="2">
        <v>1344</v>
      </c>
      <c r="K363" s="22">
        <f>SUM(J363:J953)-SUM(K366:K953)</f>
        <v>2544</v>
      </c>
      <c r="L363" s="2">
        <v>200</v>
      </c>
      <c r="M363" s="22">
        <f>SUM(L363:L953)-SUM(M366:M953)</f>
        <v>600</v>
      </c>
      <c r="N363" s="2">
        <v>0</v>
      </c>
      <c r="O363" s="22">
        <f>SUM(N363:N953)-SUM(O366:O953)</f>
        <v>0</v>
      </c>
      <c r="P363" s="2">
        <v>0</v>
      </c>
      <c r="Q363" s="22">
        <f>SUM(P363:P953)-SUM(Q366:Q953)</f>
        <v>0</v>
      </c>
      <c r="R363" s="21"/>
    </row>
    <row r="364" spans="1:18" x14ac:dyDescent="0.3">
      <c r="A364" s="21"/>
      <c r="B364" s="24"/>
      <c r="C364" s="2" t="s">
        <v>11</v>
      </c>
      <c r="D364" s="2">
        <v>260</v>
      </c>
      <c r="E364" s="21"/>
      <c r="F364" s="2">
        <v>3984</v>
      </c>
      <c r="G364" s="21"/>
      <c r="H364" s="2">
        <v>300</v>
      </c>
      <c r="I364" s="21"/>
      <c r="J364" s="2">
        <v>720</v>
      </c>
      <c r="K364" s="21"/>
      <c r="L364" s="2">
        <v>200</v>
      </c>
      <c r="M364" s="21"/>
      <c r="N364" s="2">
        <v>0</v>
      </c>
      <c r="O364" s="21"/>
      <c r="P364" s="2">
        <v>0</v>
      </c>
      <c r="Q364" s="21"/>
      <c r="R364" s="21"/>
    </row>
    <row r="365" spans="1:18" x14ac:dyDescent="0.3">
      <c r="A365" s="21"/>
      <c r="B365" s="24"/>
      <c r="C365" s="2" t="s">
        <v>12</v>
      </c>
      <c r="D365" s="2">
        <v>0</v>
      </c>
      <c r="E365" s="21"/>
      <c r="F365" s="2">
        <v>2880</v>
      </c>
      <c r="G365" s="21"/>
      <c r="H365" s="2">
        <v>500</v>
      </c>
      <c r="I365" s="21"/>
      <c r="J365" s="2">
        <v>480</v>
      </c>
      <c r="K365" s="21"/>
      <c r="L365" s="2">
        <v>200</v>
      </c>
      <c r="M365" s="21"/>
      <c r="N365" s="2">
        <v>0</v>
      </c>
      <c r="O365" s="21"/>
      <c r="P365" s="2">
        <v>0</v>
      </c>
      <c r="Q365" s="21"/>
      <c r="R365" s="21"/>
    </row>
    <row r="366" spans="1:18" x14ac:dyDescent="0.3">
      <c r="A366" s="21"/>
      <c r="B366" s="24">
        <v>45145</v>
      </c>
      <c r="C366" s="2" t="s">
        <v>10</v>
      </c>
      <c r="D366" s="2">
        <v>420</v>
      </c>
      <c r="E366" s="22">
        <f>SUM(D366:D956)-SUM(E369:E956)</f>
        <v>1320</v>
      </c>
      <c r="F366" s="2">
        <v>0</v>
      </c>
      <c r="G366" s="22">
        <f>SUM(F366:F956)-SUM(G369:G956)</f>
        <v>3264</v>
      </c>
      <c r="H366" s="2">
        <v>2900</v>
      </c>
      <c r="I366" s="22">
        <f>SUM(H366:H956)-SUM(I369:I956)</f>
        <v>7600</v>
      </c>
      <c r="J366" s="2">
        <v>432</v>
      </c>
      <c r="K366" s="22">
        <f>SUM(J366:J956)-SUM(K369:K956)</f>
        <v>792</v>
      </c>
      <c r="L366" s="2">
        <v>200</v>
      </c>
      <c r="M366" s="22">
        <f>SUM(L366:L956)-SUM(M369:M956)</f>
        <v>562</v>
      </c>
      <c r="N366" s="2">
        <v>0</v>
      </c>
      <c r="O366" s="22">
        <f>SUM(N366:N956)-SUM(O369:O956)</f>
        <v>0</v>
      </c>
      <c r="P366" s="2">
        <v>0</v>
      </c>
      <c r="Q366" s="22">
        <f>SUM(P366:P956)-SUM(Q369:Q956)</f>
        <v>0</v>
      </c>
      <c r="R366" s="21">
        <v>125</v>
      </c>
    </row>
    <row r="367" spans="1:18" x14ac:dyDescent="0.3">
      <c r="A367" s="21"/>
      <c r="B367" s="24"/>
      <c r="C367" s="2" t="s">
        <v>11</v>
      </c>
      <c r="D367" s="2">
        <v>100</v>
      </c>
      <c r="E367" s="21"/>
      <c r="F367" s="2">
        <v>0</v>
      </c>
      <c r="G367" s="21"/>
      <c r="H367" s="2">
        <v>2350</v>
      </c>
      <c r="I367" s="21"/>
      <c r="J367" s="2">
        <v>360</v>
      </c>
      <c r="K367" s="21"/>
      <c r="L367" s="2">
        <v>176</v>
      </c>
      <c r="M367" s="21"/>
      <c r="N367" s="2">
        <v>0</v>
      </c>
      <c r="O367" s="21"/>
      <c r="P367" s="2">
        <v>0</v>
      </c>
      <c r="Q367" s="21"/>
      <c r="R367" s="21"/>
    </row>
    <row r="368" spans="1:18" x14ac:dyDescent="0.3">
      <c r="A368" s="21"/>
      <c r="B368" s="24"/>
      <c r="C368" s="2" t="s">
        <v>12</v>
      </c>
      <c r="D368" s="2">
        <v>800</v>
      </c>
      <c r="E368" s="21"/>
      <c r="F368" s="2">
        <v>3264</v>
      </c>
      <c r="G368" s="21"/>
      <c r="H368" s="2">
        <v>2350</v>
      </c>
      <c r="I368" s="21"/>
      <c r="J368" s="2">
        <v>0</v>
      </c>
      <c r="K368" s="21"/>
      <c r="L368" s="2">
        <v>186</v>
      </c>
      <c r="M368" s="21"/>
      <c r="N368" s="2">
        <v>0</v>
      </c>
      <c r="O368" s="21"/>
      <c r="P368" s="2">
        <v>0</v>
      </c>
      <c r="Q368" s="21"/>
      <c r="R368" s="21"/>
    </row>
    <row r="369" spans="1:18" x14ac:dyDescent="0.3">
      <c r="A369" s="21"/>
      <c r="B369" s="24">
        <v>45146</v>
      </c>
      <c r="C369" s="2" t="s">
        <v>10</v>
      </c>
      <c r="D369" s="2">
        <v>580</v>
      </c>
      <c r="E369" s="22">
        <f>SUM(D369:D959)-SUM(E372:E959)</f>
        <v>1380</v>
      </c>
      <c r="F369" s="2">
        <v>3744</v>
      </c>
      <c r="G369" s="22">
        <f>SUM(F369:F959)-SUM(G372:G959)</f>
        <v>9496</v>
      </c>
      <c r="H369" s="2">
        <v>750</v>
      </c>
      <c r="I369" s="22">
        <f>SUM(H369:H959)-SUM(I372:I959)</f>
        <v>1500</v>
      </c>
      <c r="J369" s="2">
        <v>0</v>
      </c>
      <c r="K369" s="22">
        <f>SUM(J369:J959)-SUM(K372:K959)</f>
        <v>0</v>
      </c>
      <c r="L369" s="2">
        <v>200</v>
      </c>
      <c r="M369" s="22">
        <f>SUM(L369:L959)-SUM(M372:M959)</f>
        <v>568</v>
      </c>
      <c r="N369" s="2">
        <v>0</v>
      </c>
      <c r="O369" s="22">
        <f>SUM(N369:N959)-SUM(O372:O959)</f>
        <v>0</v>
      </c>
      <c r="P369" s="2">
        <v>0</v>
      </c>
      <c r="Q369" s="22">
        <f>SUM(P369:P959)-SUM(Q372:Q959)</f>
        <v>0</v>
      </c>
      <c r="R369" s="21">
        <v>120</v>
      </c>
    </row>
    <row r="370" spans="1:18" x14ac:dyDescent="0.3">
      <c r="A370" s="21"/>
      <c r="B370" s="24"/>
      <c r="C370" s="2" t="s">
        <v>11</v>
      </c>
      <c r="D370" s="2">
        <v>320</v>
      </c>
      <c r="E370" s="21"/>
      <c r="F370" s="2">
        <v>3256</v>
      </c>
      <c r="G370" s="21"/>
      <c r="H370" s="2">
        <v>250</v>
      </c>
      <c r="I370" s="21"/>
      <c r="J370" s="2">
        <v>0</v>
      </c>
      <c r="K370" s="21"/>
      <c r="L370" s="2">
        <v>184</v>
      </c>
      <c r="M370" s="21"/>
      <c r="N370" s="2">
        <v>0</v>
      </c>
      <c r="O370" s="21"/>
      <c r="P370" s="2">
        <v>0</v>
      </c>
      <c r="Q370" s="21"/>
      <c r="R370" s="21"/>
    </row>
    <row r="371" spans="1:18" x14ac:dyDescent="0.3">
      <c r="A371" s="21"/>
      <c r="B371" s="24"/>
      <c r="C371" s="2" t="s">
        <v>12</v>
      </c>
      <c r="D371" s="2">
        <v>480</v>
      </c>
      <c r="E371" s="21"/>
      <c r="F371" s="2">
        <v>2496</v>
      </c>
      <c r="G371" s="21"/>
      <c r="H371" s="2">
        <v>500</v>
      </c>
      <c r="I371" s="21"/>
      <c r="J371" s="2">
        <v>0</v>
      </c>
      <c r="K371" s="21"/>
      <c r="L371" s="2">
        <v>184</v>
      </c>
      <c r="M371" s="21"/>
      <c r="N371" s="2">
        <v>0</v>
      </c>
      <c r="O371" s="21"/>
      <c r="P371" s="2">
        <v>0</v>
      </c>
      <c r="Q371" s="21"/>
      <c r="R371" s="21"/>
    </row>
    <row r="372" spans="1:18" x14ac:dyDescent="0.3">
      <c r="A372" s="21"/>
      <c r="B372" s="23">
        <v>45147</v>
      </c>
      <c r="C372" s="2" t="s">
        <v>10</v>
      </c>
      <c r="D372" s="2">
        <v>300</v>
      </c>
      <c r="E372" s="26">
        <f>SUM(D372:D962)-SUM(E375:E962)</f>
        <v>300</v>
      </c>
      <c r="F372" s="2">
        <v>2730</v>
      </c>
      <c r="G372" s="26">
        <f>SUM(F372:F962)-SUM(G375:G962)</f>
        <v>4458</v>
      </c>
      <c r="H372" s="2">
        <v>1850</v>
      </c>
      <c r="I372" s="26">
        <f>SUM(H372:H962)-SUM(I375:I962)</f>
        <v>2050</v>
      </c>
      <c r="J372" s="2">
        <v>150</v>
      </c>
      <c r="K372" s="26">
        <f>SUM(J372:J962)-SUM(K375:K962)</f>
        <v>4590</v>
      </c>
      <c r="L372" s="2">
        <v>184</v>
      </c>
      <c r="M372" s="26">
        <f>SUM(L372:L962)-SUM(M375:M962)</f>
        <v>552</v>
      </c>
      <c r="N372" s="2">
        <v>0</v>
      </c>
      <c r="O372" s="26">
        <f>SUM(N372:N962)-SUM(O375:O962)</f>
        <v>0</v>
      </c>
      <c r="P372" s="2">
        <v>0</v>
      </c>
      <c r="Q372" s="26">
        <f>SUM(P372:P962)-SUM(Q375:Q962)</f>
        <v>0</v>
      </c>
      <c r="R372" s="21">
        <v>130</v>
      </c>
    </row>
    <row r="373" spans="1:18" x14ac:dyDescent="0.3">
      <c r="A373" s="21"/>
      <c r="B373" s="23"/>
      <c r="C373" s="2" t="s">
        <v>11</v>
      </c>
      <c r="D373" s="2">
        <v>0</v>
      </c>
      <c r="E373" s="27"/>
      <c r="F373" s="2">
        <v>576</v>
      </c>
      <c r="G373" s="27"/>
      <c r="H373" s="2">
        <v>200</v>
      </c>
      <c r="I373" s="27"/>
      <c r="J373" s="2">
        <v>1896</v>
      </c>
      <c r="K373" s="27"/>
      <c r="L373" s="2">
        <v>184</v>
      </c>
      <c r="M373" s="27"/>
      <c r="N373" s="2">
        <v>0</v>
      </c>
      <c r="O373" s="27"/>
      <c r="P373" s="2">
        <v>0</v>
      </c>
      <c r="Q373" s="27"/>
      <c r="R373" s="21"/>
    </row>
    <row r="374" spans="1:18" x14ac:dyDescent="0.3">
      <c r="A374" s="21"/>
      <c r="B374" s="23"/>
      <c r="C374" s="2" t="s">
        <v>12</v>
      </c>
      <c r="D374" s="2">
        <v>0</v>
      </c>
      <c r="E374" s="27"/>
      <c r="F374" s="2">
        <v>1152</v>
      </c>
      <c r="G374" s="27"/>
      <c r="H374" s="2">
        <v>0</v>
      </c>
      <c r="I374" s="27"/>
      <c r="J374" s="2">
        <v>2544</v>
      </c>
      <c r="K374" s="27"/>
      <c r="L374" s="2">
        <v>184</v>
      </c>
      <c r="M374" s="27"/>
      <c r="N374" s="2">
        <v>0</v>
      </c>
      <c r="O374" s="27"/>
      <c r="P374" s="2">
        <v>0</v>
      </c>
      <c r="Q374" s="27"/>
      <c r="R374" s="21"/>
    </row>
    <row r="375" spans="1:18" x14ac:dyDescent="0.3">
      <c r="A375" s="21"/>
      <c r="B375" s="24">
        <v>45148</v>
      </c>
      <c r="C375" s="2" t="s">
        <v>10</v>
      </c>
      <c r="D375" s="2">
        <v>0</v>
      </c>
      <c r="E375" s="22">
        <f>SUM(D375:D965)-SUM(E378:E965)</f>
        <v>0</v>
      </c>
      <c r="F375" s="2">
        <v>3168</v>
      </c>
      <c r="G375" s="22">
        <f>SUM(F375:F965)-SUM(G378:G965)</f>
        <v>4976</v>
      </c>
      <c r="H375" s="2">
        <v>0</v>
      </c>
      <c r="I375" s="22">
        <f>SUM(H375:H965)-SUM(I378:I965)</f>
        <v>0</v>
      </c>
      <c r="J375" s="2">
        <v>2256</v>
      </c>
      <c r="K375" s="22">
        <f>SUM(J375:J965)-SUM(K378:K965)</f>
        <v>6672</v>
      </c>
      <c r="L375" s="2">
        <v>184</v>
      </c>
      <c r="M375" s="22">
        <f>SUM(L375:L965)-SUM(M378:M965)</f>
        <v>552</v>
      </c>
      <c r="N375" s="2">
        <v>0</v>
      </c>
      <c r="O375" s="22">
        <f>SUM(N375:N965)-SUM(O378:O965)</f>
        <v>0</v>
      </c>
      <c r="P375" s="2">
        <v>0</v>
      </c>
      <c r="Q375" s="22">
        <f>SUM(P375:P965)-SUM(Q378:Q965)</f>
        <v>0</v>
      </c>
      <c r="R375" s="21">
        <v>125</v>
      </c>
    </row>
    <row r="376" spans="1:18" x14ac:dyDescent="0.3">
      <c r="A376" s="21"/>
      <c r="B376" s="24"/>
      <c r="C376" s="2" t="s">
        <v>11</v>
      </c>
      <c r="D376" s="2">
        <v>0</v>
      </c>
      <c r="E376" s="21"/>
      <c r="F376" s="2">
        <v>944</v>
      </c>
      <c r="G376" s="21"/>
      <c r="H376" s="2">
        <v>0</v>
      </c>
      <c r="I376" s="21"/>
      <c r="J376" s="2">
        <v>2256</v>
      </c>
      <c r="K376" s="21"/>
      <c r="L376" s="2">
        <v>184</v>
      </c>
      <c r="M376" s="21"/>
      <c r="N376" s="2">
        <v>0</v>
      </c>
      <c r="O376" s="21"/>
      <c r="P376" s="2">
        <v>0</v>
      </c>
      <c r="Q376" s="21"/>
      <c r="R376" s="21"/>
    </row>
    <row r="377" spans="1:18" x14ac:dyDescent="0.3">
      <c r="A377" s="21"/>
      <c r="B377" s="24"/>
      <c r="C377" s="2" t="s">
        <v>12</v>
      </c>
      <c r="D377" s="2">
        <v>0</v>
      </c>
      <c r="E377" s="21"/>
      <c r="F377" s="2">
        <v>864</v>
      </c>
      <c r="G377" s="21"/>
      <c r="H377" s="2">
        <v>0</v>
      </c>
      <c r="I377" s="21"/>
      <c r="J377" s="2">
        <v>2160</v>
      </c>
      <c r="K377" s="21"/>
      <c r="L377" s="2">
        <v>184</v>
      </c>
      <c r="M377" s="21"/>
      <c r="N377" s="2">
        <v>0</v>
      </c>
      <c r="O377" s="21"/>
      <c r="P377" s="2">
        <v>0</v>
      </c>
      <c r="Q377" s="21"/>
      <c r="R377" s="21"/>
    </row>
    <row r="378" spans="1:18" x14ac:dyDescent="0.3">
      <c r="A378" s="21"/>
      <c r="B378" s="24">
        <v>45149</v>
      </c>
      <c r="C378" s="2" t="s">
        <v>10</v>
      </c>
      <c r="D378" s="2">
        <v>0</v>
      </c>
      <c r="E378" s="22">
        <f>SUM(D378:D968)-SUM(E381:E968)</f>
        <v>0</v>
      </c>
      <c r="F378" s="2">
        <v>960</v>
      </c>
      <c r="G378" s="22">
        <f>SUM(F378:F968)-SUM(G381:G968)</f>
        <v>3168</v>
      </c>
      <c r="H378" s="2">
        <v>0</v>
      </c>
      <c r="I378" s="22">
        <f>SUM(H378:H968)-SUM(I381:I968)</f>
        <v>0</v>
      </c>
      <c r="J378" s="2">
        <v>2136</v>
      </c>
      <c r="K378" s="22">
        <f>SUM(J378:J968)-SUM(K381:K968)</f>
        <v>6168</v>
      </c>
      <c r="L378" s="2">
        <v>176</v>
      </c>
      <c r="M378" s="22">
        <f>SUM(L378:L968)-SUM(M381:M968)</f>
        <v>528</v>
      </c>
      <c r="N378" s="2">
        <v>0</v>
      </c>
      <c r="O378" s="22">
        <f>SUM(N378:N968)-SUM(O381:O968)</f>
        <v>0</v>
      </c>
      <c r="P378" s="2">
        <v>0</v>
      </c>
      <c r="Q378" s="22">
        <f>SUM(P378:P968)-SUM(Q381:Q968)</f>
        <v>0</v>
      </c>
      <c r="R378" s="21">
        <v>112</v>
      </c>
    </row>
    <row r="379" spans="1:18" x14ac:dyDescent="0.3">
      <c r="A379" s="21"/>
      <c r="B379" s="24"/>
      <c r="C379" s="2" t="s">
        <v>11</v>
      </c>
      <c r="D379" s="2">
        <v>0</v>
      </c>
      <c r="E379" s="21"/>
      <c r="F379" s="2">
        <v>1536</v>
      </c>
      <c r="G379" s="21"/>
      <c r="H379" s="2">
        <v>0</v>
      </c>
      <c r="I379" s="21"/>
      <c r="J379" s="2">
        <v>2064</v>
      </c>
      <c r="K379" s="21"/>
      <c r="L379" s="2">
        <v>176</v>
      </c>
      <c r="M379" s="21"/>
      <c r="N379" s="2">
        <v>0</v>
      </c>
      <c r="O379" s="21"/>
      <c r="P379" s="2">
        <v>0</v>
      </c>
      <c r="Q379" s="21"/>
      <c r="R379" s="21"/>
    </row>
    <row r="380" spans="1:18" x14ac:dyDescent="0.3">
      <c r="A380" s="21"/>
      <c r="B380" s="24"/>
      <c r="C380" s="2" t="s">
        <v>12</v>
      </c>
      <c r="D380" s="2">
        <v>0</v>
      </c>
      <c r="E380" s="21"/>
      <c r="F380" s="2">
        <v>672</v>
      </c>
      <c r="G380" s="21"/>
      <c r="H380" s="2">
        <v>0</v>
      </c>
      <c r="I380" s="21"/>
      <c r="J380" s="2">
        <v>1968</v>
      </c>
      <c r="K380" s="21"/>
      <c r="L380" s="2">
        <v>176</v>
      </c>
      <c r="M380" s="21"/>
      <c r="N380" s="2">
        <v>0</v>
      </c>
      <c r="O380" s="21"/>
      <c r="P380" s="2">
        <v>0</v>
      </c>
      <c r="Q380" s="21"/>
      <c r="R380" s="21"/>
    </row>
    <row r="381" spans="1:18" x14ac:dyDescent="0.3">
      <c r="A381" s="21"/>
      <c r="B381" s="24">
        <v>45150</v>
      </c>
      <c r="C381" s="2" t="s">
        <v>10</v>
      </c>
      <c r="D381" s="2">
        <v>0</v>
      </c>
      <c r="E381" s="22">
        <f>SUM(D381:D971)-SUM(E384:E971)</f>
        <v>0</v>
      </c>
      <c r="F381" s="2">
        <v>912</v>
      </c>
      <c r="G381" s="22">
        <f>SUM(F381:F971)-SUM(G384:G971)</f>
        <v>2540</v>
      </c>
      <c r="H381" s="2">
        <v>0</v>
      </c>
      <c r="I381" s="22">
        <f>SUM(H381:H971)-SUM(I384:I971)</f>
        <v>0</v>
      </c>
      <c r="J381" s="2">
        <v>1059</v>
      </c>
      <c r="K381" s="22">
        <f>SUM(J381:J971)-SUM(K384:K971)</f>
        <v>7491</v>
      </c>
      <c r="L381" s="2">
        <v>176</v>
      </c>
      <c r="M381" s="22">
        <f>SUM(L381:L971)-SUM(M384:M971)</f>
        <v>544</v>
      </c>
      <c r="N381" s="2">
        <v>0</v>
      </c>
      <c r="O381" s="22">
        <f>SUM(N381:N971)-SUM(O384:O971)</f>
        <v>0</v>
      </c>
      <c r="P381" s="2">
        <v>0</v>
      </c>
      <c r="Q381" s="22">
        <f>SUM(P381:P971)-SUM(Q384:Q971)</f>
        <v>0</v>
      </c>
      <c r="R381" s="21">
        <v>115</v>
      </c>
    </row>
    <row r="382" spans="1:18" x14ac:dyDescent="0.3">
      <c r="A382" s="21"/>
      <c r="B382" s="24"/>
      <c r="C382" s="2" t="s">
        <v>11</v>
      </c>
      <c r="D382" s="2">
        <v>0</v>
      </c>
      <c r="E382" s="21"/>
      <c r="F382" s="2">
        <v>816</v>
      </c>
      <c r="G382" s="21"/>
      <c r="H382" s="2">
        <v>0</v>
      </c>
      <c r="I382" s="21"/>
      <c r="J382" s="2">
        <v>3168</v>
      </c>
      <c r="K382" s="21"/>
      <c r="L382" s="2">
        <v>192</v>
      </c>
      <c r="M382" s="21"/>
      <c r="N382" s="2">
        <v>0</v>
      </c>
      <c r="O382" s="21"/>
      <c r="P382" s="2">
        <v>0</v>
      </c>
      <c r="Q382" s="21"/>
      <c r="R382" s="21"/>
    </row>
    <row r="383" spans="1:18" x14ac:dyDescent="0.3">
      <c r="A383" s="21"/>
      <c r="B383" s="24"/>
      <c r="C383" s="2" t="s">
        <v>12</v>
      </c>
      <c r="D383" s="2">
        <v>0</v>
      </c>
      <c r="E383" s="21"/>
      <c r="F383" s="2">
        <v>812</v>
      </c>
      <c r="G383" s="21"/>
      <c r="H383" s="2">
        <v>0</v>
      </c>
      <c r="I383" s="21"/>
      <c r="J383" s="2">
        <v>3264</v>
      </c>
      <c r="K383" s="21"/>
      <c r="L383" s="2">
        <v>176</v>
      </c>
      <c r="M383" s="21"/>
      <c r="N383" s="2">
        <v>0</v>
      </c>
      <c r="O383" s="21"/>
      <c r="P383" s="2">
        <v>0</v>
      </c>
      <c r="Q383" s="21"/>
      <c r="R383" s="21"/>
    </row>
    <row r="384" spans="1:18" x14ac:dyDescent="0.3">
      <c r="A384" s="21"/>
      <c r="B384" s="24">
        <v>45151</v>
      </c>
      <c r="C384" s="2" t="s">
        <v>10</v>
      </c>
      <c r="D384" s="2">
        <v>0</v>
      </c>
      <c r="E384" s="22">
        <f>SUM(D384:D974)-SUM(E387:E974)</f>
        <v>420</v>
      </c>
      <c r="F384" s="2">
        <v>2160</v>
      </c>
      <c r="G384" s="22">
        <f>SUM(F384:F974)-SUM(G387:G974)</f>
        <v>3628</v>
      </c>
      <c r="H384" s="2">
        <v>600</v>
      </c>
      <c r="I384" s="22">
        <f>SUM(H384:H974)-SUM(I387:I974)</f>
        <v>600</v>
      </c>
      <c r="J384" s="2">
        <v>1056</v>
      </c>
      <c r="K384" s="22">
        <f>SUM(J384:J974)-SUM(K387:K974)</f>
        <v>3504</v>
      </c>
      <c r="L384" s="2">
        <v>176</v>
      </c>
      <c r="M384" s="22">
        <f>SUM(L384:L974)-SUM(M387:M974)</f>
        <v>544</v>
      </c>
      <c r="N384" s="2">
        <v>0</v>
      </c>
      <c r="O384" s="22">
        <f>SUM(N384:N974)-SUM(O387:O974)</f>
        <v>0</v>
      </c>
      <c r="P384" s="2">
        <v>0</v>
      </c>
      <c r="Q384" s="22">
        <f>SUM(P384:P974)-SUM(Q387:Q974)</f>
        <v>0</v>
      </c>
      <c r="R384" s="21"/>
    </row>
    <row r="385" spans="1:18" x14ac:dyDescent="0.3">
      <c r="A385" s="21"/>
      <c r="B385" s="24"/>
      <c r="C385" s="2" t="s">
        <v>11</v>
      </c>
      <c r="D385" s="2">
        <v>0</v>
      </c>
      <c r="E385" s="21"/>
      <c r="F385" s="2">
        <v>1468</v>
      </c>
      <c r="G385" s="21"/>
      <c r="H385" s="2">
        <v>0</v>
      </c>
      <c r="I385" s="21"/>
      <c r="J385" s="2">
        <v>240</v>
      </c>
      <c r="K385" s="21"/>
      <c r="L385" s="2">
        <v>192</v>
      </c>
      <c r="M385" s="21"/>
      <c r="N385" s="2">
        <v>0</v>
      </c>
      <c r="O385" s="21"/>
      <c r="P385" s="2">
        <v>0</v>
      </c>
      <c r="Q385" s="21"/>
      <c r="R385" s="21"/>
    </row>
    <row r="386" spans="1:18" x14ac:dyDescent="0.3">
      <c r="A386" s="21"/>
      <c r="B386" s="24"/>
      <c r="C386" s="2" t="s">
        <v>12</v>
      </c>
      <c r="D386" s="2">
        <v>420</v>
      </c>
      <c r="E386" s="21"/>
      <c r="F386" s="2">
        <v>0</v>
      </c>
      <c r="G386" s="21"/>
      <c r="H386" s="2">
        <v>0</v>
      </c>
      <c r="I386" s="21"/>
      <c r="J386" s="2">
        <v>2208</v>
      </c>
      <c r="K386" s="21"/>
      <c r="L386" s="2">
        <v>176</v>
      </c>
      <c r="M386" s="21"/>
      <c r="N386" s="2">
        <v>0</v>
      </c>
      <c r="O386" s="21"/>
      <c r="P386" s="2">
        <v>0</v>
      </c>
      <c r="Q386" s="21"/>
      <c r="R386" s="21"/>
    </row>
    <row r="387" spans="1:18" x14ac:dyDescent="0.3">
      <c r="A387" s="21"/>
      <c r="B387" s="24">
        <v>45152</v>
      </c>
      <c r="C387" s="2" t="s">
        <v>10</v>
      </c>
      <c r="D387" s="2">
        <v>0</v>
      </c>
      <c r="E387" s="22">
        <f>SUM(D387:D977)-SUM(E390:E977)</f>
        <v>260</v>
      </c>
      <c r="F387" s="2">
        <v>3216</v>
      </c>
      <c r="G387" s="22">
        <f>SUM(F387:F977)-SUM(G390:G977)</f>
        <v>9648</v>
      </c>
      <c r="H387" s="2">
        <v>0</v>
      </c>
      <c r="I387" s="22">
        <f>SUM(H387:H977)-SUM(I390:I977)</f>
        <v>0</v>
      </c>
      <c r="J387" s="2">
        <v>864</v>
      </c>
      <c r="K387" s="22">
        <f>SUM(J387:J977)-SUM(K390:K977)</f>
        <v>1728</v>
      </c>
      <c r="L387" s="2">
        <v>168</v>
      </c>
      <c r="M387" s="22">
        <f>SUM(L387:L977)-SUM(M390:M977)</f>
        <v>504</v>
      </c>
      <c r="N387" s="2">
        <v>0</v>
      </c>
      <c r="O387" s="22">
        <f>SUM(N387:N977)-SUM(O390:O977)</f>
        <v>0</v>
      </c>
      <c r="P387" s="2">
        <v>0</v>
      </c>
      <c r="Q387" s="22">
        <f>SUM(P387:P977)-SUM(Q390:Q977)</f>
        <v>0</v>
      </c>
      <c r="R387" s="21">
        <v>156</v>
      </c>
    </row>
    <row r="388" spans="1:18" x14ac:dyDescent="0.3">
      <c r="A388" s="21"/>
      <c r="B388" s="24"/>
      <c r="C388" s="2" t="s">
        <v>11</v>
      </c>
      <c r="D388" s="2">
        <v>0</v>
      </c>
      <c r="E388" s="21"/>
      <c r="F388" s="2">
        <v>3216</v>
      </c>
      <c r="G388" s="21"/>
      <c r="H388" s="2">
        <v>0</v>
      </c>
      <c r="I388" s="21"/>
      <c r="J388" s="2">
        <v>864</v>
      </c>
      <c r="K388" s="21"/>
      <c r="L388" s="2">
        <v>168</v>
      </c>
      <c r="M388" s="21"/>
      <c r="N388" s="2">
        <v>0</v>
      </c>
      <c r="O388" s="21"/>
      <c r="P388" s="2">
        <v>0</v>
      </c>
      <c r="Q388" s="21"/>
      <c r="R388" s="21"/>
    </row>
    <row r="389" spans="1:18" x14ac:dyDescent="0.3">
      <c r="A389" s="21"/>
      <c r="B389" s="24"/>
      <c r="C389" s="2" t="s">
        <v>12</v>
      </c>
      <c r="D389" s="2">
        <v>260</v>
      </c>
      <c r="E389" s="21"/>
      <c r="F389" s="2">
        <v>3216</v>
      </c>
      <c r="G389" s="21"/>
      <c r="H389" s="2">
        <v>0</v>
      </c>
      <c r="I389" s="21"/>
      <c r="J389" s="2">
        <v>0</v>
      </c>
      <c r="K389" s="21"/>
      <c r="L389" s="2">
        <v>168</v>
      </c>
      <c r="M389" s="21"/>
      <c r="N389" s="2">
        <v>0</v>
      </c>
      <c r="O389" s="21"/>
      <c r="P389" s="2">
        <v>0</v>
      </c>
      <c r="Q389" s="21"/>
      <c r="R389" s="21"/>
    </row>
    <row r="390" spans="1:18" x14ac:dyDescent="0.3">
      <c r="A390" s="21"/>
      <c r="B390" s="24">
        <v>45153</v>
      </c>
      <c r="C390" s="2" t="s">
        <v>10</v>
      </c>
      <c r="D390" s="2">
        <v>160</v>
      </c>
      <c r="E390" s="22">
        <f>SUM(D390:D980)-SUM(E393:E980)</f>
        <v>480</v>
      </c>
      <c r="F390" s="2">
        <v>3214</v>
      </c>
      <c r="G390" s="22">
        <f>SUM(F390:F980)-SUM(G393:G980)</f>
        <v>6382</v>
      </c>
      <c r="H390" s="2">
        <v>0</v>
      </c>
      <c r="I390" s="22">
        <f>SUM(H390:H980)-SUM(I393:I980)</f>
        <v>0</v>
      </c>
      <c r="J390" s="2">
        <v>960</v>
      </c>
      <c r="K390" s="22">
        <f>SUM(J390:J980)-SUM(K393:K980)</f>
        <v>5130</v>
      </c>
      <c r="L390" s="2">
        <v>176</v>
      </c>
      <c r="M390" s="22">
        <f>SUM(L390:L980)-SUM(M393:M980)</f>
        <v>544</v>
      </c>
      <c r="N390" s="2">
        <v>0</v>
      </c>
      <c r="O390" s="22">
        <f>SUM(N390:N980)-SUM(O393:O980)</f>
        <v>0</v>
      </c>
      <c r="P390" s="2">
        <v>0</v>
      </c>
      <c r="Q390" s="22">
        <f>SUM(P390:P980)-SUM(Q393:Q980)</f>
        <v>0</v>
      </c>
      <c r="R390" s="21"/>
    </row>
    <row r="391" spans="1:18" x14ac:dyDescent="0.3">
      <c r="A391" s="21"/>
      <c r="B391" s="24"/>
      <c r="C391" s="2" t="s">
        <v>11</v>
      </c>
      <c r="D391" s="2">
        <v>160</v>
      </c>
      <c r="E391" s="21"/>
      <c r="F391" s="2">
        <v>2592</v>
      </c>
      <c r="G391" s="21"/>
      <c r="H391" s="2">
        <v>0</v>
      </c>
      <c r="I391" s="21"/>
      <c r="J391" s="2">
        <v>960</v>
      </c>
      <c r="K391" s="21"/>
      <c r="L391" s="2">
        <v>176</v>
      </c>
      <c r="M391" s="21"/>
      <c r="N391" s="2">
        <v>0</v>
      </c>
      <c r="O391" s="21"/>
      <c r="P391" s="2">
        <v>0</v>
      </c>
      <c r="Q391" s="21"/>
      <c r="R391" s="21"/>
    </row>
    <row r="392" spans="1:18" x14ac:dyDescent="0.3">
      <c r="A392" s="21"/>
      <c r="B392" s="24"/>
      <c r="C392" s="2" t="s">
        <v>12</v>
      </c>
      <c r="D392" s="2">
        <v>160</v>
      </c>
      <c r="E392" s="21"/>
      <c r="F392" s="2">
        <v>576</v>
      </c>
      <c r="G392" s="21"/>
      <c r="H392" s="2">
        <v>0</v>
      </c>
      <c r="I392" s="21"/>
      <c r="J392" s="2">
        <v>3210</v>
      </c>
      <c r="K392" s="21"/>
      <c r="L392" s="2">
        <v>192</v>
      </c>
      <c r="M392" s="21"/>
      <c r="N392" s="2">
        <v>0</v>
      </c>
      <c r="O392" s="21"/>
      <c r="P392" s="2">
        <v>0</v>
      </c>
      <c r="Q392" s="21"/>
      <c r="R392" s="21"/>
    </row>
    <row r="393" spans="1:18" x14ac:dyDescent="0.3">
      <c r="A393" s="21"/>
      <c r="B393" s="24">
        <v>45154</v>
      </c>
      <c r="C393" s="2" t="s">
        <v>10</v>
      </c>
      <c r="D393" s="2">
        <v>160</v>
      </c>
      <c r="E393" s="22">
        <f>SUM(D393:D983)-SUM(E396:E983)</f>
        <v>780</v>
      </c>
      <c r="F393" s="2">
        <v>576</v>
      </c>
      <c r="G393" s="22">
        <f>SUM(F393:F983)-SUM(G396:G983)</f>
        <v>1536</v>
      </c>
      <c r="H393" s="2">
        <v>0</v>
      </c>
      <c r="I393" s="22">
        <f>SUM(H393:H983)-SUM(I396:I983)</f>
        <v>600</v>
      </c>
      <c r="J393" s="2">
        <v>2784</v>
      </c>
      <c r="K393" s="22">
        <f>SUM(J393:J983)-SUM(K396:K983)</f>
        <v>6576</v>
      </c>
      <c r="L393" s="2">
        <v>176</v>
      </c>
      <c r="M393" s="22">
        <f>SUM(L393:L983)-SUM(M396:M983)</f>
        <v>528</v>
      </c>
      <c r="N393" s="2">
        <v>0</v>
      </c>
      <c r="O393" s="22">
        <f>SUM(N393:N983)-SUM(O396:O983)</f>
        <v>0</v>
      </c>
      <c r="P393" s="2">
        <v>0</v>
      </c>
      <c r="Q393" s="22">
        <f>SUM(P393:P983)-SUM(Q396:Q983)</f>
        <v>0</v>
      </c>
      <c r="R393" s="21">
        <v>65</v>
      </c>
    </row>
    <row r="394" spans="1:18" x14ac:dyDescent="0.3">
      <c r="A394" s="21"/>
      <c r="B394" s="24"/>
      <c r="C394" s="2" t="s">
        <v>11</v>
      </c>
      <c r="D394" s="2">
        <v>160</v>
      </c>
      <c r="E394" s="21"/>
      <c r="F394" s="2">
        <v>576</v>
      </c>
      <c r="G394" s="21"/>
      <c r="H394" s="2">
        <v>0</v>
      </c>
      <c r="I394" s="21"/>
      <c r="J394" s="2">
        <v>2064</v>
      </c>
      <c r="K394" s="21"/>
      <c r="L394" s="2">
        <v>176</v>
      </c>
      <c r="M394" s="21"/>
      <c r="N394" s="2">
        <v>0</v>
      </c>
      <c r="O394" s="21"/>
      <c r="P394" s="2">
        <v>0</v>
      </c>
      <c r="Q394" s="21"/>
      <c r="R394" s="21"/>
    </row>
    <row r="395" spans="1:18" x14ac:dyDescent="0.3">
      <c r="A395" s="21"/>
      <c r="B395" s="24"/>
      <c r="C395" s="2" t="s">
        <v>12</v>
      </c>
      <c r="D395" s="2">
        <v>460</v>
      </c>
      <c r="E395" s="21"/>
      <c r="F395" s="2">
        <v>384</v>
      </c>
      <c r="G395" s="21"/>
      <c r="H395" s="2">
        <v>600</v>
      </c>
      <c r="I395" s="21"/>
      <c r="J395" s="2">
        <v>1728</v>
      </c>
      <c r="K395" s="21"/>
      <c r="L395" s="2">
        <v>176</v>
      </c>
      <c r="M395" s="21"/>
      <c r="N395" s="2">
        <v>0</v>
      </c>
      <c r="O395" s="21"/>
      <c r="P395" s="2">
        <v>0</v>
      </c>
      <c r="Q395" s="21"/>
      <c r="R395" s="21"/>
    </row>
    <row r="396" spans="1:18" x14ac:dyDescent="0.3">
      <c r="A396" s="21"/>
      <c r="B396" s="24">
        <v>45155</v>
      </c>
      <c r="C396" s="2" t="s">
        <v>10</v>
      </c>
      <c r="D396" s="2">
        <v>160</v>
      </c>
      <c r="E396" s="22">
        <f>SUM(D396:D986)-SUM(E399:E986)</f>
        <v>1020</v>
      </c>
      <c r="F396" s="2">
        <v>2156</v>
      </c>
      <c r="G396" s="22">
        <f>SUM(F396:F986)-SUM(G399:G986)</f>
        <v>5972</v>
      </c>
      <c r="H396" s="2">
        <v>150</v>
      </c>
      <c r="I396" s="22">
        <f>SUM(H396:H986)-SUM(I399:I986)</f>
        <v>150</v>
      </c>
      <c r="J396" s="2">
        <v>864</v>
      </c>
      <c r="K396" s="22">
        <f>SUM(J396:J986)-SUM(K399:K986)</f>
        <v>2496</v>
      </c>
      <c r="L396" s="2">
        <v>160</v>
      </c>
      <c r="M396" s="22">
        <f>SUM(L396:L986)-SUM(M399:M986)</f>
        <v>508</v>
      </c>
      <c r="N396" s="2">
        <v>0</v>
      </c>
      <c r="O396" s="22">
        <f>SUM(N396:N986)-SUM(O399:O986)</f>
        <v>0</v>
      </c>
      <c r="P396" s="2">
        <v>0</v>
      </c>
      <c r="Q396" s="22">
        <f>SUM(P396:P986)-SUM(Q399:Q986)</f>
        <v>0</v>
      </c>
      <c r="R396" s="21">
        <v>95</v>
      </c>
    </row>
    <row r="397" spans="1:18" x14ac:dyDescent="0.3">
      <c r="A397" s="21"/>
      <c r="B397" s="24"/>
      <c r="C397" s="2" t="s">
        <v>11</v>
      </c>
      <c r="D397" s="2">
        <v>460</v>
      </c>
      <c r="E397" s="21"/>
      <c r="F397" s="2">
        <v>2232</v>
      </c>
      <c r="G397" s="21"/>
      <c r="H397" s="2">
        <v>0</v>
      </c>
      <c r="I397" s="21"/>
      <c r="J397" s="2">
        <v>768</v>
      </c>
      <c r="K397" s="21"/>
      <c r="L397" s="2">
        <v>176</v>
      </c>
      <c r="M397" s="21"/>
      <c r="N397" s="2">
        <v>0</v>
      </c>
      <c r="O397" s="21"/>
      <c r="P397" s="2">
        <v>0</v>
      </c>
      <c r="Q397" s="21"/>
      <c r="R397" s="21"/>
    </row>
    <row r="398" spans="1:18" x14ac:dyDescent="0.3">
      <c r="A398" s="21"/>
      <c r="B398" s="24"/>
      <c r="C398" s="2" t="s">
        <v>12</v>
      </c>
      <c r="D398" s="2">
        <v>400</v>
      </c>
      <c r="E398" s="21"/>
      <c r="F398" s="2">
        <v>1584</v>
      </c>
      <c r="G398" s="21"/>
      <c r="H398" s="2">
        <v>0</v>
      </c>
      <c r="I398" s="21"/>
      <c r="J398" s="2">
        <v>864</v>
      </c>
      <c r="K398" s="21"/>
      <c r="L398" s="2">
        <v>172</v>
      </c>
      <c r="M398" s="21"/>
      <c r="N398" s="2">
        <v>0</v>
      </c>
      <c r="O398" s="21"/>
      <c r="P398" s="2">
        <v>0</v>
      </c>
      <c r="Q398" s="21"/>
      <c r="R398" s="21"/>
    </row>
    <row r="399" spans="1:18" x14ac:dyDescent="0.3">
      <c r="A399" s="21"/>
      <c r="B399" s="24">
        <v>45156</v>
      </c>
      <c r="C399" s="2" t="s">
        <v>10</v>
      </c>
      <c r="D399" s="2">
        <v>340</v>
      </c>
      <c r="E399" s="22">
        <f>SUM(D399:D989)-SUM(E402:E989)</f>
        <v>1080</v>
      </c>
      <c r="F399" s="2">
        <v>2016</v>
      </c>
      <c r="G399" s="22">
        <f>SUM(F399:F989)-SUM(G402:G989)</f>
        <v>6000</v>
      </c>
      <c r="H399" s="2">
        <v>0</v>
      </c>
      <c r="I399" s="22">
        <f>SUM(H399:H989)-SUM(I402:I989)</f>
        <v>900</v>
      </c>
      <c r="J399" s="2">
        <v>576</v>
      </c>
      <c r="K399" s="22">
        <f>SUM(J399:J989)-SUM(K402:K989)</f>
        <v>2112</v>
      </c>
      <c r="L399" s="2">
        <v>156</v>
      </c>
      <c r="M399" s="22">
        <f>SUM(L399:L989)-SUM(M402:M989)</f>
        <v>516</v>
      </c>
      <c r="N399" s="2">
        <v>0</v>
      </c>
      <c r="O399" s="22">
        <f>SUM(N399:N989)-SUM(O402:O989)</f>
        <v>0</v>
      </c>
      <c r="P399" s="2">
        <v>0</v>
      </c>
      <c r="Q399" s="22">
        <f>SUM(P399:P989)-SUM(Q402:Q989)</f>
        <v>0</v>
      </c>
      <c r="R399" s="21">
        <v>112</v>
      </c>
    </row>
    <row r="400" spans="1:18" x14ac:dyDescent="0.3">
      <c r="A400" s="21"/>
      <c r="B400" s="24"/>
      <c r="C400" s="2" t="s">
        <v>11</v>
      </c>
      <c r="D400" s="2">
        <v>500</v>
      </c>
      <c r="E400" s="21"/>
      <c r="F400" s="2">
        <v>2016</v>
      </c>
      <c r="G400" s="21"/>
      <c r="H400" s="2">
        <v>0</v>
      </c>
      <c r="I400" s="21"/>
      <c r="J400" s="2">
        <v>576</v>
      </c>
      <c r="K400" s="21"/>
      <c r="L400" s="2">
        <v>184</v>
      </c>
      <c r="M400" s="21"/>
      <c r="N400" s="2">
        <v>0</v>
      </c>
      <c r="O400" s="21"/>
      <c r="P400" s="2">
        <v>0</v>
      </c>
      <c r="Q400" s="21"/>
      <c r="R400" s="21"/>
    </row>
    <row r="401" spans="1:18" x14ac:dyDescent="0.3">
      <c r="A401" s="21"/>
      <c r="B401" s="24"/>
      <c r="C401" s="2" t="s">
        <v>12</v>
      </c>
      <c r="D401" s="2">
        <v>240</v>
      </c>
      <c r="E401" s="21"/>
      <c r="F401" s="2">
        <v>1968</v>
      </c>
      <c r="G401" s="21"/>
      <c r="H401" s="2">
        <v>900</v>
      </c>
      <c r="I401" s="21"/>
      <c r="J401" s="2">
        <v>960</v>
      </c>
      <c r="K401" s="21"/>
      <c r="L401" s="2">
        <v>176</v>
      </c>
      <c r="M401" s="21"/>
      <c r="N401" s="2">
        <v>0</v>
      </c>
      <c r="O401" s="21"/>
      <c r="P401" s="2">
        <v>0</v>
      </c>
      <c r="Q401" s="21"/>
      <c r="R401" s="21"/>
    </row>
    <row r="402" spans="1:18" x14ac:dyDescent="0.3">
      <c r="A402" s="21"/>
      <c r="B402" s="24">
        <v>45157</v>
      </c>
      <c r="C402" s="2" t="s">
        <v>10</v>
      </c>
      <c r="D402" s="2">
        <v>360</v>
      </c>
      <c r="E402" s="22">
        <f>SUM(D402:D992)-SUM(E405:E992)</f>
        <v>1240</v>
      </c>
      <c r="F402" s="2">
        <v>3600</v>
      </c>
      <c r="G402" s="22">
        <f>SUM(F402:F992)-SUM(G405:G992)</f>
        <v>9984</v>
      </c>
      <c r="H402" s="2">
        <v>450</v>
      </c>
      <c r="I402" s="22">
        <f>SUM(H402:H992)-SUM(I405:I992)</f>
        <v>450</v>
      </c>
      <c r="J402" s="2">
        <v>960</v>
      </c>
      <c r="K402" s="22">
        <f>SUM(J402:J992)-SUM(K405:K992)</f>
        <v>2688</v>
      </c>
      <c r="L402" s="2">
        <v>176</v>
      </c>
      <c r="M402" s="22">
        <f>SUM(L402:L992)-SUM(M405:M992)</f>
        <v>525</v>
      </c>
      <c r="N402" s="2">
        <v>0</v>
      </c>
      <c r="O402" s="22">
        <f>SUM(N402:N992)-SUM(O405:O992)</f>
        <v>0</v>
      </c>
      <c r="P402" s="2">
        <v>0</v>
      </c>
      <c r="Q402" s="22">
        <f>SUM(P402:P992)-SUM(Q405:Q992)</f>
        <v>0</v>
      </c>
      <c r="R402" s="21">
        <v>206</v>
      </c>
    </row>
    <row r="403" spans="1:18" x14ac:dyDescent="0.3">
      <c r="A403" s="21"/>
      <c r="B403" s="24"/>
      <c r="C403" s="2" t="s">
        <v>11</v>
      </c>
      <c r="D403" s="2">
        <v>440</v>
      </c>
      <c r="E403" s="21"/>
      <c r="F403" s="2">
        <v>3360</v>
      </c>
      <c r="G403" s="21"/>
      <c r="H403" s="2">
        <v>0</v>
      </c>
      <c r="I403" s="21"/>
      <c r="J403" s="2">
        <v>960</v>
      </c>
      <c r="K403" s="21"/>
      <c r="L403" s="2">
        <v>176</v>
      </c>
      <c r="M403" s="21"/>
      <c r="N403" s="2">
        <v>0</v>
      </c>
      <c r="O403" s="21"/>
      <c r="P403" s="2">
        <v>0</v>
      </c>
      <c r="Q403" s="21"/>
      <c r="R403" s="21"/>
    </row>
    <row r="404" spans="1:18" x14ac:dyDescent="0.3">
      <c r="A404" s="21"/>
      <c r="B404" s="24"/>
      <c r="C404" s="2" t="s">
        <v>12</v>
      </c>
      <c r="D404" s="2">
        <v>440</v>
      </c>
      <c r="E404" s="21"/>
      <c r="F404" s="2">
        <v>3024</v>
      </c>
      <c r="G404" s="21"/>
      <c r="H404" s="2">
        <v>0</v>
      </c>
      <c r="I404" s="21"/>
      <c r="J404" s="2">
        <v>768</v>
      </c>
      <c r="K404" s="21"/>
      <c r="L404" s="2">
        <v>173</v>
      </c>
      <c r="M404" s="21"/>
      <c r="N404" s="2">
        <v>0</v>
      </c>
      <c r="O404" s="21"/>
      <c r="P404" s="2">
        <v>0</v>
      </c>
      <c r="Q404" s="21"/>
      <c r="R404" s="21"/>
    </row>
    <row r="405" spans="1:18" x14ac:dyDescent="0.3">
      <c r="A405" s="21"/>
      <c r="B405" s="24">
        <v>45158</v>
      </c>
      <c r="C405" s="2" t="s">
        <v>10</v>
      </c>
      <c r="D405" s="2">
        <v>340</v>
      </c>
      <c r="E405" s="22">
        <f>SUM(D405:D995)-SUM(E408:E995)</f>
        <v>1240</v>
      </c>
      <c r="F405" s="2">
        <v>1344</v>
      </c>
      <c r="G405" s="22">
        <f>SUM(F405:F995)-SUM(G408:G995)</f>
        <v>4704</v>
      </c>
      <c r="H405" s="2">
        <v>0</v>
      </c>
      <c r="I405" s="22">
        <f>SUM(H405:H995)-SUM(I408:I995)</f>
        <v>3450</v>
      </c>
      <c r="J405" s="2">
        <v>960</v>
      </c>
      <c r="K405" s="22">
        <f>SUM(J405:J995)-SUM(K408:K995)</f>
        <v>960</v>
      </c>
      <c r="L405" s="2">
        <v>176</v>
      </c>
      <c r="M405" s="22">
        <f>SUM(L405:L995)-SUM(M408:M995)</f>
        <v>525</v>
      </c>
      <c r="N405" s="2">
        <v>0</v>
      </c>
      <c r="O405" s="22">
        <f>SUM(N405:N995)-SUM(O408:O995)</f>
        <v>0</v>
      </c>
      <c r="P405" s="2">
        <v>0</v>
      </c>
      <c r="Q405" s="22">
        <f>SUM(P405:P995)-SUM(Q408:Q995)</f>
        <v>0</v>
      </c>
      <c r="R405" s="21"/>
    </row>
    <row r="406" spans="1:18" x14ac:dyDescent="0.3">
      <c r="A406" s="21"/>
      <c r="B406" s="24"/>
      <c r="C406" s="2" t="s">
        <v>11</v>
      </c>
      <c r="D406" s="2">
        <v>520</v>
      </c>
      <c r="E406" s="21"/>
      <c r="F406" s="2">
        <v>1680</v>
      </c>
      <c r="G406" s="21"/>
      <c r="H406" s="2">
        <v>1900</v>
      </c>
      <c r="I406" s="21"/>
      <c r="J406" s="2">
        <v>0</v>
      </c>
      <c r="K406" s="21"/>
      <c r="L406" s="2">
        <v>176</v>
      </c>
      <c r="M406" s="21"/>
      <c r="N406" s="2">
        <v>0</v>
      </c>
      <c r="O406" s="21"/>
      <c r="P406" s="2">
        <v>0</v>
      </c>
      <c r="Q406" s="21"/>
      <c r="R406" s="21"/>
    </row>
    <row r="407" spans="1:18" x14ac:dyDescent="0.3">
      <c r="A407" s="21"/>
      <c r="B407" s="24"/>
      <c r="C407" s="2" t="s">
        <v>12</v>
      </c>
      <c r="D407" s="2">
        <v>380</v>
      </c>
      <c r="E407" s="21"/>
      <c r="F407" s="2">
        <v>1680</v>
      </c>
      <c r="G407" s="21"/>
      <c r="H407" s="2">
        <v>1550</v>
      </c>
      <c r="I407" s="21"/>
      <c r="J407" s="2">
        <v>0</v>
      </c>
      <c r="K407" s="21"/>
      <c r="L407" s="2">
        <v>173</v>
      </c>
      <c r="M407" s="21"/>
      <c r="N407" s="2">
        <v>0</v>
      </c>
      <c r="O407" s="21"/>
      <c r="P407" s="2">
        <v>0</v>
      </c>
      <c r="Q407" s="21"/>
      <c r="R407" s="21"/>
    </row>
    <row r="408" spans="1:18" x14ac:dyDescent="0.3">
      <c r="A408" s="21"/>
      <c r="B408" s="24">
        <v>45159</v>
      </c>
      <c r="C408" s="2" t="s">
        <v>10</v>
      </c>
      <c r="D408" s="2">
        <v>520</v>
      </c>
      <c r="E408" s="22">
        <f>SUM(D408:D998)-SUM(E411:E998)</f>
        <v>1300</v>
      </c>
      <c r="F408" s="2">
        <v>520</v>
      </c>
      <c r="G408" s="22">
        <f>SUM(F408:F998)-SUM(G411:G998)</f>
        <v>1300</v>
      </c>
      <c r="H408" s="2">
        <v>600</v>
      </c>
      <c r="I408" s="22">
        <f>SUM(H408:H998)-SUM(I411:I998)</f>
        <v>600</v>
      </c>
      <c r="J408" s="2">
        <v>0</v>
      </c>
      <c r="K408" s="22">
        <f>SUM(J408:J998)-SUM(K411:K998)</f>
        <v>0</v>
      </c>
      <c r="L408" s="2">
        <v>176</v>
      </c>
      <c r="M408" s="22">
        <f>SUM(L408:L998)-SUM(M411:M998)</f>
        <v>616</v>
      </c>
      <c r="N408" s="2">
        <v>0</v>
      </c>
      <c r="O408" s="22">
        <f>SUM(N408:N998)-SUM(O411:O998)</f>
        <v>0</v>
      </c>
      <c r="P408" s="2">
        <v>0</v>
      </c>
      <c r="Q408" s="22">
        <f>SUM(P408:P998)-SUM(Q411:Q998)</f>
        <v>0</v>
      </c>
      <c r="R408" s="21">
        <v>87</v>
      </c>
    </row>
    <row r="409" spans="1:18" x14ac:dyDescent="0.3">
      <c r="A409" s="21"/>
      <c r="B409" s="24"/>
      <c r="C409" s="2" t="s">
        <v>11</v>
      </c>
      <c r="D409" s="2">
        <v>400</v>
      </c>
      <c r="E409" s="21"/>
      <c r="F409" s="2">
        <v>400</v>
      </c>
      <c r="G409" s="21"/>
      <c r="H409" s="2">
        <v>0</v>
      </c>
      <c r="I409" s="21"/>
      <c r="J409" s="2">
        <v>0</v>
      </c>
      <c r="K409" s="21"/>
      <c r="L409" s="2">
        <v>216</v>
      </c>
      <c r="M409" s="21"/>
      <c r="N409" s="2">
        <v>0</v>
      </c>
      <c r="O409" s="21"/>
      <c r="P409" s="2">
        <v>0</v>
      </c>
      <c r="Q409" s="21"/>
      <c r="R409" s="21"/>
    </row>
    <row r="410" spans="1:18" x14ac:dyDescent="0.3">
      <c r="A410" s="21"/>
      <c r="B410" s="24"/>
      <c r="C410" s="2" t="s">
        <v>12</v>
      </c>
      <c r="D410" s="2">
        <v>380</v>
      </c>
      <c r="E410" s="21"/>
      <c r="F410" s="2">
        <v>380</v>
      </c>
      <c r="G410" s="21"/>
      <c r="H410" s="2">
        <v>0</v>
      </c>
      <c r="I410" s="21"/>
      <c r="J410" s="2">
        <v>0</v>
      </c>
      <c r="K410" s="21"/>
      <c r="L410" s="2">
        <v>224</v>
      </c>
      <c r="M410" s="21"/>
      <c r="N410" s="2">
        <v>0</v>
      </c>
      <c r="O410" s="21"/>
      <c r="P410" s="2">
        <v>0</v>
      </c>
      <c r="Q410" s="21"/>
      <c r="R410" s="21"/>
    </row>
    <row r="411" spans="1:18" x14ac:dyDescent="0.3">
      <c r="A411" s="21"/>
      <c r="B411" s="24">
        <v>45160</v>
      </c>
      <c r="C411" s="2" t="s">
        <v>10</v>
      </c>
      <c r="D411" s="2">
        <v>520</v>
      </c>
      <c r="E411" s="22">
        <f>SUM(D411:D1001)-SUM(E414:E1001)</f>
        <v>1280</v>
      </c>
      <c r="F411" s="2">
        <v>1440</v>
      </c>
      <c r="G411" s="22">
        <f>SUM(F411:F1001)-SUM(G414:G1001)</f>
        <v>4320</v>
      </c>
      <c r="H411" s="2">
        <v>0</v>
      </c>
      <c r="I411" s="22">
        <f>SUM(H411:H1001)-SUM(I414:I1001)</f>
        <v>0</v>
      </c>
      <c r="J411" s="2">
        <v>960</v>
      </c>
      <c r="K411" s="22">
        <f>SUM(J411:J1001)-SUM(K414:K1001)</f>
        <v>3360</v>
      </c>
      <c r="L411" s="2">
        <v>200</v>
      </c>
      <c r="M411" s="22">
        <f>SUM(L411:L1001)-SUM(M414:M1001)</f>
        <v>568</v>
      </c>
      <c r="N411" s="2">
        <v>0</v>
      </c>
      <c r="O411" s="22">
        <f>SUM(N411:N1001)-SUM(O414:O1001)</f>
        <v>0</v>
      </c>
      <c r="P411" s="2">
        <v>0</v>
      </c>
      <c r="Q411" s="22">
        <f>SUM(P411:P1001)-SUM(Q414:Q1001)</f>
        <v>0</v>
      </c>
      <c r="R411" s="21">
        <v>85</v>
      </c>
    </row>
    <row r="412" spans="1:18" x14ac:dyDescent="0.3">
      <c r="A412" s="21"/>
      <c r="B412" s="24"/>
      <c r="C412" s="2" t="s">
        <v>11</v>
      </c>
      <c r="D412" s="2">
        <v>380</v>
      </c>
      <c r="E412" s="21"/>
      <c r="F412" s="2">
        <v>1440</v>
      </c>
      <c r="G412" s="21"/>
      <c r="H412" s="2">
        <v>0</v>
      </c>
      <c r="I412" s="21"/>
      <c r="J412" s="2">
        <v>960</v>
      </c>
      <c r="K412" s="21"/>
      <c r="L412" s="2">
        <v>184</v>
      </c>
      <c r="M412" s="21"/>
      <c r="N412" s="2">
        <v>0</v>
      </c>
      <c r="O412" s="21"/>
      <c r="P412" s="2">
        <v>0</v>
      </c>
      <c r="Q412" s="21"/>
      <c r="R412" s="21"/>
    </row>
    <row r="413" spans="1:18" x14ac:dyDescent="0.3">
      <c r="A413" s="21"/>
      <c r="B413" s="24"/>
      <c r="C413" s="2" t="s">
        <v>12</v>
      </c>
      <c r="D413" s="2">
        <v>380</v>
      </c>
      <c r="E413" s="21"/>
      <c r="F413" s="2">
        <v>1440</v>
      </c>
      <c r="G413" s="21"/>
      <c r="H413" s="2">
        <v>0</v>
      </c>
      <c r="I413" s="21"/>
      <c r="J413" s="2">
        <v>1440</v>
      </c>
      <c r="K413" s="21"/>
      <c r="L413" s="2">
        <v>184</v>
      </c>
      <c r="M413" s="21"/>
      <c r="N413" s="2">
        <v>0</v>
      </c>
      <c r="O413" s="21"/>
      <c r="P413" s="2">
        <v>0</v>
      </c>
      <c r="Q413" s="21"/>
      <c r="R413" s="21"/>
    </row>
    <row r="414" spans="1:18" x14ac:dyDescent="0.3">
      <c r="A414" s="21"/>
      <c r="B414" s="24">
        <v>45161</v>
      </c>
      <c r="C414" s="2" t="s">
        <v>10</v>
      </c>
      <c r="D414" s="2">
        <v>320</v>
      </c>
      <c r="E414" s="22">
        <f>SUM(D414:D1004)-SUM(E417:E1004)</f>
        <v>1040</v>
      </c>
      <c r="F414" s="2">
        <v>2256</v>
      </c>
      <c r="G414" s="22">
        <f>SUM(F414:F1004)-SUM(G417:G1004)</f>
        <v>6102</v>
      </c>
      <c r="H414" s="2">
        <v>0</v>
      </c>
      <c r="I414" s="22">
        <f>SUM(H414:H1004)-SUM(I417:I1004)</f>
        <v>0</v>
      </c>
      <c r="J414" s="2">
        <v>960</v>
      </c>
      <c r="K414" s="22">
        <f>SUM(J414:J1004)-SUM(K417:K1004)</f>
        <v>2880</v>
      </c>
      <c r="L414" s="2">
        <v>126</v>
      </c>
      <c r="M414" s="22">
        <f>SUM(L414:L1004)-SUM(M417:M1004)</f>
        <v>470</v>
      </c>
      <c r="N414" s="2">
        <v>0</v>
      </c>
      <c r="O414" s="22">
        <f>SUM(N414:N1004)-SUM(O417:O1004)</f>
        <v>0</v>
      </c>
      <c r="P414" s="2">
        <v>0</v>
      </c>
      <c r="Q414" s="22">
        <f>SUM(P414:P1004)-SUM(Q417:Q1004)</f>
        <v>0</v>
      </c>
      <c r="R414" s="21">
        <v>70</v>
      </c>
    </row>
    <row r="415" spans="1:18" x14ac:dyDescent="0.3">
      <c r="A415" s="21"/>
      <c r="B415" s="24"/>
      <c r="C415" s="2" t="s">
        <v>11</v>
      </c>
      <c r="D415" s="2">
        <v>400</v>
      </c>
      <c r="E415" s="21"/>
      <c r="F415" s="2">
        <v>2400</v>
      </c>
      <c r="G415" s="21"/>
      <c r="H415" s="2">
        <v>0</v>
      </c>
      <c r="I415" s="21"/>
      <c r="J415" s="2">
        <v>960</v>
      </c>
      <c r="K415" s="21"/>
      <c r="L415" s="2">
        <v>168</v>
      </c>
      <c r="M415" s="21"/>
      <c r="N415" s="2">
        <v>0</v>
      </c>
      <c r="O415" s="21"/>
      <c r="P415" s="2">
        <v>0</v>
      </c>
      <c r="Q415" s="21"/>
      <c r="R415" s="21"/>
    </row>
    <row r="416" spans="1:18" x14ac:dyDescent="0.3">
      <c r="A416" s="21"/>
      <c r="B416" s="24"/>
      <c r="C416" s="2" t="s">
        <v>12</v>
      </c>
      <c r="D416" s="2">
        <v>320</v>
      </c>
      <c r="E416" s="21"/>
      <c r="F416" s="2">
        <v>1446</v>
      </c>
      <c r="G416" s="21"/>
      <c r="H416" s="2">
        <v>0</v>
      </c>
      <c r="I416" s="21"/>
      <c r="J416" s="2">
        <v>960</v>
      </c>
      <c r="K416" s="21"/>
      <c r="L416" s="2">
        <v>176</v>
      </c>
      <c r="M416" s="21"/>
      <c r="N416" s="2">
        <v>0</v>
      </c>
      <c r="O416" s="21"/>
      <c r="P416" s="2">
        <v>0</v>
      </c>
      <c r="Q416" s="21"/>
      <c r="R416" s="21"/>
    </row>
    <row r="417" spans="1:18" x14ac:dyDescent="0.3">
      <c r="A417" s="21"/>
      <c r="B417" s="24">
        <v>45162</v>
      </c>
      <c r="C417" s="2" t="s">
        <v>10</v>
      </c>
      <c r="D417" s="2">
        <v>320</v>
      </c>
      <c r="E417" s="22">
        <f>SUM(D417:D1007)-SUM(E420:E1007)</f>
        <v>1040</v>
      </c>
      <c r="F417" s="2">
        <v>2760</v>
      </c>
      <c r="G417" s="22">
        <f>SUM(F417:F1007)-SUM(G420:G1007)</f>
        <v>7944</v>
      </c>
      <c r="H417" s="2">
        <v>0</v>
      </c>
      <c r="I417" s="22">
        <f>SUM(H417:H1007)-SUM(I420:I1007)</f>
        <v>1900</v>
      </c>
      <c r="J417" s="2">
        <v>960</v>
      </c>
      <c r="K417" s="22">
        <f>SUM(J417:J1007)-SUM(K420:K1007)</f>
        <v>5040</v>
      </c>
      <c r="L417" s="2">
        <v>176</v>
      </c>
      <c r="M417" s="22">
        <f>SUM(L417:L1007)-SUM(M420:M1007)</f>
        <v>520</v>
      </c>
      <c r="N417" s="2">
        <v>0</v>
      </c>
      <c r="O417" s="22">
        <f>SUM(N417:N1007)-SUM(O420:O1007)</f>
        <v>0</v>
      </c>
      <c r="P417" s="2">
        <v>0</v>
      </c>
      <c r="Q417" s="22">
        <f>SUM(P417:P1007)-SUM(Q420:Q1007)</f>
        <v>0</v>
      </c>
      <c r="R417" s="21">
        <v>77</v>
      </c>
    </row>
    <row r="418" spans="1:18" x14ac:dyDescent="0.3">
      <c r="A418" s="21"/>
      <c r="B418" s="24"/>
      <c r="C418" s="2" t="s">
        <v>11</v>
      </c>
      <c r="D418" s="2">
        <v>400</v>
      </c>
      <c r="E418" s="21"/>
      <c r="F418" s="2">
        <v>2928</v>
      </c>
      <c r="G418" s="21"/>
      <c r="H418" s="2">
        <v>1050</v>
      </c>
      <c r="I418" s="21"/>
      <c r="J418" s="2">
        <v>4080</v>
      </c>
      <c r="K418" s="21"/>
      <c r="L418" s="2">
        <v>168</v>
      </c>
      <c r="M418" s="21"/>
      <c r="N418" s="2">
        <v>0</v>
      </c>
      <c r="O418" s="21"/>
      <c r="P418" s="2">
        <v>0</v>
      </c>
      <c r="Q418" s="21"/>
      <c r="R418" s="21"/>
    </row>
    <row r="419" spans="1:18" x14ac:dyDescent="0.3">
      <c r="A419" s="21"/>
      <c r="B419" s="24"/>
      <c r="C419" s="2" t="s">
        <v>12</v>
      </c>
      <c r="D419" s="2">
        <v>320</v>
      </c>
      <c r="E419" s="21"/>
      <c r="F419" s="2">
        <v>2256</v>
      </c>
      <c r="G419" s="21"/>
      <c r="H419" s="2">
        <v>850</v>
      </c>
      <c r="I419" s="21"/>
      <c r="J419" s="2">
        <v>0</v>
      </c>
      <c r="K419" s="21"/>
      <c r="L419" s="2">
        <v>176</v>
      </c>
      <c r="M419" s="21"/>
      <c r="N419" s="2">
        <v>0</v>
      </c>
      <c r="O419" s="21"/>
      <c r="P419" s="2">
        <v>0</v>
      </c>
      <c r="Q419" s="21"/>
      <c r="R419" s="21"/>
    </row>
    <row r="420" spans="1:18" x14ac:dyDescent="0.3">
      <c r="A420" s="21"/>
      <c r="B420" s="24">
        <v>45163</v>
      </c>
      <c r="C420" s="2" t="s">
        <v>10</v>
      </c>
      <c r="D420" s="2">
        <v>400</v>
      </c>
      <c r="E420" s="22">
        <f>SUM(D420:D1010)-SUM(E423:E1010)</f>
        <v>1200</v>
      </c>
      <c r="F420" s="2">
        <v>2280</v>
      </c>
      <c r="G420" s="22">
        <f>SUM(F420:F1010)-SUM(G423:G1010)</f>
        <v>8040</v>
      </c>
      <c r="H420" s="2">
        <v>0</v>
      </c>
      <c r="I420" s="22">
        <f>SUM(H420:H1010)-SUM(I423:I1010)</f>
        <v>0</v>
      </c>
      <c r="J420" s="2">
        <v>192</v>
      </c>
      <c r="K420" s="22">
        <f>SUM(J420:J1010)-SUM(K423:K1010)</f>
        <v>2208</v>
      </c>
      <c r="L420" s="2">
        <v>176</v>
      </c>
      <c r="M420" s="22">
        <f>SUM(L420:L1010)-SUM(M423:M1010)</f>
        <v>566</v>
      </c>
      <c r="N420" s="2">
        <v>0</v>
      </c>
      <c r="O420" s="22">
        <f>SUM(N420:N1010)-SUM(O423:O1010)</f>
        <v>0</v>
      </c>
      <c r="P420" s="2">
        <v>0</v>
      </c>
      <c r="Q420" s="22">
        <f>SUM(P420:P1010)-SUM(Q423:Q1010)</f>
        <v>0</v>
      </c>
      <c r="R420" s="21">
        <v>80</v>
      </c>
    </row>
    <row r="421" spans="1:18" x14ac:dyDescent="0.3">
      <c r="A421" s="21"/>
      <c r="B421" s="24"/>
      <c r="C421" s="2" t="s">
        <v>11</v>
      </c>
      <c r="D421" s="2">
        <v>400</v>
      </c>
      <c r="E421" s="21"/>
      <c r="F421" s="2">
        <v>3600</v>
      </c>
      <c r="G421" s="21"/>
      <c r="H421" s="2">
        <v>0</v>
      </c>
      <c r="I421" s="21"/>
      <c r="J421" s="2">
        <v>960</v>
      </c>
      <c r="K421" s="21"/>
      <c r="L421" s="2">
        <v>214</v>
      </c>
      <c r="M421" s="21"/>
      <c r="N421" s="2">
        <v>0</v>
      </c>
      <c r="O421" s="21"/>
      <c r="P421" s="2">
        <v>0</v>
      </c>
      <c r="Q421" s="21"/>
      <c r="R421" s="21"/>
    </row>
    <row r="422" spans="1:18" x14ac:dyDescent="0.3">
      <c r="A422" s="21"/>
      <c r="B422" s="24"/>
      <c r="C422" s="2" t="s">
        <v>12</v>
      </c>
      <c r="D422" s="2">
        <v>400</v>
      </c>
      <c r="E422" s="21"/>
      <c r="F422" s="2">
        <v>2160</v>
      </c>
      <c r="G422" s="21"/>
      <c r="H422" s="2">
        <v>0</v>
      </c>
      <c r="I422" s="21"/>
      <c r="J422" s="2">
        <v>1056</v>
      </c>
      <c r="K422" s="21"/>
      <c r="L422" s="2">
        <v>176</v>
      </c>
      <c r="M422" s="21"/>
      <c r="N422" s="2">
        <v>0</v>
      </c>
      <c r="O422" s="21"/>
      <c r="P422" s="2">
        <v>0</v>
      </c>
      <c r="Q422" s="21"/>
      <c r="R422" s="21"/>
    </row>
    <row r="423" spans="1:18" x14ac:dyDescent="0.3">
      <c r="A423" s="21"/>
      <c r="B423" s="24">
        <v>45164</v>
      </c>
      <c r="C423" s="2" t="s">
        <v>10</v>
      </c>
      <c r="D423" s="2">
        <v>880</v>
      </c>
      <c r="E423" s="22">
        <f>SUM(D423:D1013)-SUM(E426:E1013)</f>
        <v>880</v>
      </c>
      <c r="F423" s="2">
        <v>0</v>
      </c>
      <c r="G423" s="22">
        <f>SUM(F423:F1013)-SUM(G426:G1013)</f>
        <v>6144</v>
      </c>
      <c r="H423" s="2">
        <v>0</v>
      </c>
      <c r="I423" s="22">
        <f>SUM(H423:H1013)-SUM(I426:I1013)</f>
        <v>0</v>
      </c>
      <c r="J423" s="2">
        <v>1824</v>
      </c>
      <c r="K423" s="22">
        <f>SUM(J423:J1013)-SUM(K426:K1013)</f>
        <v>21024</v>
      </c>
      <c r="L423" s="2">
        <v>176</v>
      </c>
      <c r="M423" s="22">
        <f>SUM(L423:L1013)-SUM(M426:M1013)</f>
        <v>564</v>
      </c>
      <c r="N423" s="2">
        <v>0</v>
      </c>
      <c r="O423" s="22">
        <f>SUM(N423:N1013)-SUM(O426:O1013)</f>
        <v>0</v>
      </c>
      <c r="P423" s="2">
        <v>0</v>
      </c>
      <c r="Q423" s="22">
        <f>SUM(P423:P1013)-SUM(Q426:Q1013)</f>
        <v>0</v>
      </c>
      <c r="R423" s="21">
        <v>122</v>
      </c>
    </row>
    <row r="424" spans="1:18" x14ac:dyDescent="0.3">
      <c r="A424" s="21"/>
      <c r="B424" s="24"/>
      <c r="C424" s="2" t="s">
        <v>11</v>
      </c>
      <c r="D424" s="2">
        <v>0</v>
      </c>
      <c r="E424" s="21"/>
      <c r="F424" s="2">
        <v>2880</v>
      </c>
      <c r="G424" s="21"/>
      <c r="H424" s="2">
        <v>0</v>
      </c>
      <c r="I424" s="21"/>
      <c r="J424" s="2">
        <v>18240</v>
      </c>
      <c r="K424" s="21"/>
      <c r="L424" s="2">
        <v>196</v>
      </c>
      <c r="M424" s="21"/>
      <c r="N424" s="2">
        <v>0</v>
      </c>
      <c r="O424" s="21"/>
      <c r="P424" s="2">
        <v>0</v>
      </c>
      <c r="Q424" s="21"/>
      <c r="R424" s="21"/>
    </row>
    <row r="425" spans="1:18" x14ac:dyDescent="0.3">
      <c r="A425" s="21"/>
      <c r="B425" s="24"/>
      <c r="C425" s="2" t="s">
        <v>12</v>
      </c>
      <c r="D425" s="2">
        <v>0</v>
      </c>
      <c r="E425" s="21"/>
      <c r="F425" s="2">
        <v>3264</v>
      </c>
      <c r="G425" s="21"/>
      <c r="H425" s="2">
        <v>0</v>
      </c>
      <c r="I425" s="21"/>
      <c r="J425" s="2">
        <v>960</v>
      </c>
      <c r="K425" s="21"/>
      <c r="L425" s="2">
        <v>192</v>
      </c>
      <c r="M425" s="21"/>
      <c r="N425" s="2">
        <v>0</v>
      </c>
      <c r="O425" s="21"/>
      <c r="P425" s="2">
        <v>0</v>
      </c>
      <c r="Q425" s="21"/>
      <c r="R425" s="21"/>
    </row>
    <row r="426" spans="1:18" x14ac:dyDescent="0.3">
      <c r="A426" s="21"/>
      <c r="B426" s="24">
        <v>45165</v>
      </c>
      <c r="C426" s="2" t="s">
        <v>10</v>
      </c>
      <c r="D426" s="2">
        <v>0</v>
      </c>
      <c r="E426" s="22">
        <f>SUM(D426:D1016)-SUM(E429:E1016)</f>
        <v>0</v>
      </c>
      <c r="F426" s="2">
        <v>4700</v>
      </c>
      <c r="G426" s="22">
        <f>SUM(F426:F1016)-SUM(G429:G1016)</f>
        <v>12620</v>
      </c>
      <c r="H426" s="2">
        <v>0</v>
      </c>
      <c r="I426" s="22">
        <f>SUM(H426:H1016)-SUM(I429:I1016)</f>
        <v>0</v>
      </c>
      <c r="J426" s="2">
        <v>384</v>
      </c>
      <c r="K426" s="22">
        <f>SUM(J426:J1016)-SUM(K429:K1016)</f>
        <v>2304</v>
      </c>
      <c r="L426" s="2">
        <v>172</v>
      </c>
      <c r="M426" s="22">
        <f>SUM(L426:L1016)-SUM(M429:M1016)</f>
        <v>556</v>
      </c>
      <c r="N426" s="2">
        <v>0</v>
      </c>
      <c r="O426" s="22">
        <f>SUM(N426:N1016)-SUM(O429:O1016)</f>
        <v>0</v>
      </c>
      <c r="P426" s="2">
        <v>0</v>
      </c>
      <c r="Q426" s="22">
        <f>SUM(P426:P1016)-SUM(Q429:Q1016)</f>
        <v>0</v>
      </c>
      <c r="R426" s="21"/>
    </row>
    <row r="427" spans="1:18" x14ac:dyDescent="0.3">
      <c r="A427" s="21"/>
      <c r="B427" s="24"/>
      <c r="C427" s="2" t="s">
        <v>11</v>
      </c>
      <c r="D427" s="2">
        <v>0</v>
      </c>
      <c r="E427" s="21"/>
      <c r="F427" s="2">
        <v>4560</v>
      </c>
      <c r="G427" s="21"/>
      <c r="H427" s="2">
        <v>0</v>
      </c>
      <c r="I427" s="21"/>
      <c r="J427" s="2">
        <v>960</v>
      </c>
      <c r="K427" s="21"/>
      <c r="L427" s="2">
        <v>192</v>
      </c>
      <c r="M427" s="21"/>
      <c r="N427" s="2">
        <v>0</v>
      </c>
      <c r="O427" s="21"/>
      <c r="P427" s="2">
        <v>0</v>
      </c>
      <c r="Q427" s="21"/>
      <c r="R427" s="21"/>
    </row>
    <row r="428" spans="1:18" x14ac:dyDescent="0.3">
      <c r="A428" s="21"/>
      <c r="B428" s="24"/>
      <c r="C428" s="2" t="s">
        <v>12</v>
      </c>
      <c r="D428" s="2">
        <v>0</v>
      </c>
      <c r="E428" s="21"/>
      <c r="F428" s="2">
        <v>3360</v>
      </c>
      <c r="G428" s="21"/>
      <c r="H428" s="2">
        <v>0</v>
      </c>
      <c r="I428" s="21"/>
      <c r="J428" s="2">
        <v>960</v>
      </c>
      <c r="K428" s="21"/>
      <c r="L428" s="2">
        <v>192</v>
      </c>
      <c r="M428" s="21"/>
      <c r="N428" s="2">
        <v>0</v>
      </c>
      <c r="O428" s="21"/>
      <c r="P428" s="2">
        <v>0</v>
      </c>
      <c r="Q428" s="21"/>
      <c r="R428" s="21"/>
    </row>
    <row r="429" spans="1:18" x14ac:dyDescent="0.3">
      <c r="A429" s="21"/>
      <c r="B429" s="24">
        <v>45166</v>
      </c>
      <c r="C429" s="2" t="s">
        <v>10</v>
      </c>
      <c r="D429" s="2">
        <v>0</v>
      </c>
      <c r="E429" s="22">
        <f>SUM(D429:D1019)-SUM(E432:E1019)</f>
        <v>0</v>
      </c>
      <c r="F429" s="2">
        <v>3336</v>
      </c>
      <c r="G429" s="22">
        <f>SUM(F429:F1019)-SUM(G432:G1019)</f>
        <v>8760</v>
      </c>
      <c r="H429" s="2">
        <v>0</v>
      </c>
      <c r="I429" s="22">
        <f>SUM(H429:H1019)-SUM(I432:I1019)</f>
        <v>0</v>
      </c>
      <c r="J429" s="2">
        <v>960</v>
      </c>
      <c r="K429" s="22">
        <f>SUM(J429:J1019)-SUM(K432:K1019)</f>
        <v>2784</v>
      </c>
      <c r="L429" s="2">
        <v>164</v>
      </c>
      <c r="M429" s="22">
        <f>SUM(L429:L1019)-SUM(M432:M1019)</f>
        <v>596</v>
      </c>
      <c r="N429" s="2">
        <v>0</v>
      </c>
      <c r="O429" s="22">
        <f>SUM(N429:N1019)-SUM(O432:O1019)</f>
        <v>0</v>
      </c>
      <c r="P429" s="2">
        <v>0</v>
      </c>
      <c r="Q429" s="22">
        <f>SUM(P429:P1019)-SUM(Q432:Q1019)</f>
        <v>0</v>
      </c>
      <c r="R429" s="21">
        <v>85</v>
      </c>
    </row>
    <row r="430" spans="1:18" x14ac:dyDescent="0.3">
      <c r="A430" s="21"/>
      <c r="B430" s="24"/>
      <c r="C430" s="2" t="s">
        <v>11</v>
      </c>
      <c r="D430" s="2">
        <v>0</v>
      </c>
      <c r="E430" s="21"/>
      <c r="F430" s="2">
        <v>2592</v>
      </c>
      <c r="G430" s="21"/>
      <c r="H430" s="2">
        <v>0</v>
      </c>
      <c r="I430" s="21"/>
      <c r="J430" s="2">
        <v>960</v>
      </c>
      <c r="K430" s="21"/>
      <c r="L430" s="2">
        <v>216</v>
      </c>
      <c r="M430" s="21"/>
      <c r="N430" s="2">
        <v>0</v>
      </c>
      <c r="O430" s="21"/>
      <c r="P430" s="2">
        <v>0</v>
      </c>
      <c r="Q430" s="21"/>
      <c r="R430" s="21"/>
    </row>
    <row r="431" spans="1:18" x14ac:dyDescent="0.3">
      <c r="A431" s="21"/>
      <c r="B431" s="24"/>
      <c r="C431" s="2" t="s">
        <v>12</v>
      </c>
      <c r="D431" s="2">
        <v>0</v>
      </c>
      <c r="E431" s="21"/>
      <c r="F431" s="2">
        <v>2832</v>
      </c>
      <c r="G431" s="21"/>
      <c r="H431" s="2">
        <v>0</v>
      </c>
      <c r="I431" s="21"/>
      <c r="J431" s="2">
        <v>864</v>
      </c>
      <c r="K431" s="21"/>
      <c r="L431" s="2">
        <v>216</v>
      </c>
      <c r="M431" s="21"/>
      <c r="N431" s="2">
        <v>0</v>
      </c>
      <c r="O431" s="21"/>
      <c r="P431" s="2">
        <v>0</v>
      </c>
      <c r="Q431" s="21"/>
      <c r="R431" s="21"/>
    </row>
    <row r="432" spans="1:18" x14ac:dyDescent="0.3">
      <c r="A432" s="21"/>
      <c r="B432" s="24">
        <v>45167</v>
      </c>
      <c r="C432" s="2" t="s">
        <v>10</v>
      </c>
      <c r="D432" s="2">
        <v>280</v>
      </c>
      <c r="E432" s="22">
        <f>SUM(D432:D1022)-SUM(E435:E1022)</f>
        <v>280</v>
      </c>
      <c r="F432" s="2">
        <v>1272</v>
      </c>
      <c r="G432" s="22">
        <f>SUM(F432:F1022)-SUM(G435:G1022)</f>
        <v>6796</v>
      </c>
      <c r="H432" s="2">
        <v>600</v>
      </c>
      <c r="I432" s="22">
        <f>SUM(H432:H1022)-SUM(I435:I1022)</f>
        <v>600</v>
      </c>
      <c r="J432" s="2">
        <v>960</v>
      </c>
      <c r="K432" s="22">
        <f>SUM(J432:J1022)-SUM(K435:K1022)</f>
        <v>2688</v>
      </c>
      <c r="L432" s="2">
        <v>180</v>
      </c>
      <c r="M432" s="22">
        <f>SUM(L432:L1022)-SUM(M435:M1022)</f>
        <v>564</v>
      </c>
      <c r="N432" s="2">
        <v>0</v>
      </c>
      <c r="O432" s="22">
        <f>SUM(N432:N1022)-SUM(O435:O1022)</f>
        <v>0</v>
      </c>
      <c r="P432" s="2">
        <v>0</v>
      </c>
      <c r="Q432" s="22">
        <f>SUM(P432:P1022)-SUM(Q435:Q1022)</f>
        <v>0</v>
      </c>
      <c r="R432" s="21">
        <v>81</v>
      </c>
    </row>
    <row r="433" spans="1:18" x14ac:dyDescent="0.3">
      <c r="A433" s="21"/>
      <c r="B433" s="24"/>
      <c r="C433" s="2" t="s">
        <v>11</v>
      </c>
      <c r="D433" s="2">
        <v>0</v>
      </c>
      <c r="E433" s="21"/>
      <c r="F433" s="2">
        <v>2352</v>
      </c>
      <c r="G433" s="21"/>
      <c r="H433" s="2">
        <v>0</v>
      </c>
      <c r="I433" s="21"/>
      <c r="J433" s="2">
        <v>864</v>
      </c>
      <c r="K433" s="21"/>
      <c r="L433" s="2">
        <v>192</v>
      </c>
      <c r="M433" s="21"/>
      <c r="N433" s="2">
        <v>0</v>
      </c>
      <c r="O433" s="21"/>
      <c r="P433" s="2">
        <v>0</v>
      </c>
      <c r="Q433" s="21"/>
      <c r="R433" s="21"/>
    </row>
    <row r="434" spans="1:18" x14ac:dyDescent="0.3">
      <c r="A434" s="21"/>
      <c r="B434" s="24"/>
      <c r="C434" s="2" t="s">
        <v>12</v>
      </c>
      <c r="D434" s="2">
        <v>0</v>
      </c>
      <c r="E434" s="21"/>
      <c r="F434" s="2">
        <v>3172</v>
      </c>
      <c r="G434" s="21"/>
      <c r="H434" s="2">
        <v>0</v>
      </c>
      <c r="I434" s="21"/>
      <c r="J434" s="2">
        <v>864</v>
      </c>
      <c r="K434" s="21"/>
      <c r="L434" s="2">
        <v>192</v>
      </c>
      <c r="M434" s="21"/>
      <c r="N434" s="2">
        <v>0</v>
      </c>
      <c r="O434" s="21"/>
      <c r="P434" s="2">
        <v>0</v>
      </c>
      <c r="Q434" s="21"/>
      <c r="R434" s="21"/>
    </row>
    <row r="435" spans="1:18" x14ac:dyDescent="0.3">
      <c r="A435" s="21"/>
      <c r="B435" s="24">
        <v>45168</v>
      </c>
      <c r="C435" s="2" t="s">
        <v>10</v>
      </c>
      <c r="D435" s="2">
        <v>0</v>
      </c>
      <c r="E435" s="22">
        <f>SUM(D435:D1025)-SUM(E438:E1025)</f>
        <v>0</v>
      </c>
      <c r="F435" s="2">
        <v>2544</v>
      </c>
      <c r="G435" s="22">
        <f>SUM(F435:F1025)-SUM(G438:G1025)</f>
        <v>7536</v>
      </c>
      <c r="H435" s="2">
        <v>0</v>
      </c>
      <c r="I435" s="22">
        <f>SUM(H435:H1025)-SUM(I438:I1025)</f>
        <v>0</v>
      </c>
      <c r="J435" s="2">
        <v>960</v>
      </c>
      <c r="K435" s="22">
        <f>SUM(J435:J1025)-SUM(K438:K1025)</f>
        <v>2880</v>
      </c>
      <c r="L435" s="2">
        <v>192</v>
      </c>
      <c r="M435" s="22">
        <f>SUM(L435:L1025)-SUM(M438:M1025)</f>
        <v>576</v>
      </c>
      <c r="N435" s="2">
        <v>0</v>
      </c>
      <c r="O435" s="22">
        <f>SUM(N435:N1025)-SUM(O438:O1025)</f>
        <v>0</v>
      </c>
      <c r="P435" s="2">
        <v>0</v>
      </c>
      <c r="Q435" s="22">
        <f>SUM(P435:P1025)-SUM(Q438:Q1025)</f>
        <v>0</v>
      </c>
      <c r="R435" s="21">
        <v>60</v>
      </c>
    </row>
    <row r="436" spans="1:18" x14ac:dyDescent="0.3">
      <c r="A436" s="21"/>
      <c r="B436" s="24"/>
      <c r="C436" s="2" t="s">
        <v>11</v>
      </c>
      <c r="D436" s="2">
        <v>0</v>
      </c>
      <c r="E436" s="21"/>
      <c r="F436" s="2">
        <v>2496</v>
      </c>
      <c r="G436" s="21"/>
      <c r="H436" s="2">
        <v>0</v>
      </c>
      <c r="I436" s="21"/>
      <c r="J436" s="2">
        <v>960</v>
      </c>
      <c r="K436" s="21"/>
      <c r="L436" s="2">
        <v>192</v>
      </c>
      <c r="M436" s="21"/>
      <c r="N436" s="2">
        <v>0</v>
      </c>
      <c r="O436" s="21"/>
      <c r="P436" s="2">
        <v>0</v>
      </c>
      <c r="Q436" s="21"/>
      <c r="R436" s="21"/>
    </row>
    <row r="437" spans="1:18" x14ac:dyDescent="0.3">
      <c r="A437" s="21"/>
      <c r="B437" s="24"/>
      <c r="C437" s="2" t="s">
        <v>12</v>
      </c>
      <c r="D437" s="2">
        <v>0</v>
      </c>
      <c r="E437" s="21"/>
      <c r="F437" s="2">
        <v>2496</v>
      </c>
      <c r="G437" s="21"/>
      <c r="H437" s="2">
        <v>0</v>
      </c>
      <c r="I437" s="21"/>
      <c r="J437" s="2">
        <v>960</v>
      </c>
      <c r="K437" s="21"/>
      <c r="L437" s="2">
        <v>192</v>
      </c>
      <c r="M437" s="21"/>
      <c r="N437" s="2">
        <v>0</v>
      </c>
      <c r="O437" s="21"/>
      <c r="P437" s="2">
        <v>0</v>
      </c>
      <c r="Q437" s="21"/>
      <c r="R437" s="21"/>
    </row>
    <row r="438" spans="1:18" x14ac:dyDescent="0.3">
      <c r="A438" s="21"/>
      <c r="B438" s="24">
        <v>45169</v>
      </c>
      <c r="C438" s="2" t="s">
        <v>10</v>
      </c>
      <c r="D438" s="2">
        <v>0</v>
      </c>
      <c r="E438" s="22">
        <f>SUM(D438:D1028)-SUM(E441:E1028)</f>
        <v>0</v>
      </c>
      <c r="F438" s="2">
        <v>3360</v>
      </c>
      <c r="G438" s="22">
        <f>SUM(F438:F1028)-SUM(G441:G1028)</f>
        <v>6672</v>
      </c>
      <c r="H438" s="2">
        <v>0</v>
      </c>
      <c r="I438" s="22">
        <f>SUM(H438:H1028)-SUM(I441:I1028)</f>
        <v>0</v>
      </c>
      <c r="J438" s="2">
        <v>960</v>
      </c>
      <c r="K438" s="22">
        <f>SUM(J438:J1028)-SUM(K441:K1028)</f>
        <v>4370</v>
      </c>
      <c r="L438" s="2">
        <v>192</v>
      </c>
      <c r="M438" s="22">
        <f>SUM(L438:L1028)-SUM(M441:M1028)</f>
        <v>544</v>
      </c>
      <c r="N438" s="2">
        <v>0</v>
      </c>
      <c r="O438" s="22">
        <f>SUM(N438:N1028)-SUM(O441:O1028)</f>
        <v>0</v>
      </c>
      <c r="P438" s="2">
        <v>0</v>
      </c>
      <c r="Q438" s="22">
        <f>SUM(P438:P1028)-SUM(Q441:Q1028)</f>
        <v>0</v>
      </c>
      <c r="R438" s="21">
        <v>48</v>
      </c>
    </row>
    <row r="439" spans="1:18" x14ac:dyDescent="0.3">
      <c r="A439" s="21"/>
      <c r="B439" s="24"/>
      <c r="C439" s="2" t="s">
        <v>11</v>
      </c>
      <c r="D439" s="2">
        <v>0</v>
      </c>
      <c r="E439" s="21"/>
      <c r="F439" s="2">
        <v>2160</v>
      </c>
      <c r="G439" s="21"/>
      <c r="H439" s="2">
        <v>0</v>
      </c>
      <c r="I439" s="21"/>
      <c r="J439" s="2">
        <v>1682</v>
      </c>
      <c r="K439" s="21"/>
      <c r="L439" s="2">
        <v>176</v>
      </c>
      <c r="M439" s="21"/>
      <c r="N439" s="2">
        <v>0</v>
      </c>
      <c r="O439" s="21"/>
      <c r="P439" s="2">
        <v>0</v>
      </c>
      <c r="Q439" s="21"/>
      <c r="R439" s="21"/>
    </row>
    <row r="440" spans="1:18" x14ac:dyDescent="0.3">
      <c r="A440" s="21"/>
      <c r="B440" s="24"/>
      <c r="C440" s="2" t="s">
        <v>12</v>
      </c>
      <c r="D440" s="2">
        <v>0</v>
      </c>
      <c r="E440" s="21"/>
      <c r="F440" s="2">
        <v>1152</v>
      </c>
      <c r="G440" s="21"/>
      <c r="H440" s="2">
        <v>0</v>
      </c>
      <c r="I440" s="21"/>
      <c r="J440" s="2">
        <v>1728</v>
      </c>
      <c r="K440" s="21"/>
      <c r="L440" s="2">
        <v>176</v>
      </c>
      <c r="M440" s="21"/>
      <c r="N440" s="2">
        <v>0</v>
      </c>
      <c r="O440" s="21"/>
      <c r="P440" s="2">
        <v>0</v>
      </c>
      <c r="Q440" s="21"/>
      <c r="R440" s="21"/>
    </row>
    <row r="441" spans="1:18" x14ac:dyDescent="0.3">
      <c r="A441" s="21" t="s">
        <v>23</v>
      </c>
      <c r="B441" s="24">
        <v>45170</v>
      </c>
      <c r="C441" s="2" t="s">
        <v>10</v>
      </c>
      <c r="D441" s="2">
        <v>0</v>
      </c>
      <c r="E441" s="22">
        <f>SUM(D441:D1031)-SUM(E444:E1031)</f>
        <v>0</v>
      </c>
      <c r="F441" s="2">
        <v>2784</v>
      </c>
      <c r="G441" s="22">
        <f>SUM(F441:F1031)-SUM(G444:G1031)</f>
        <v>7920</v>
      </c>
      <c r="H441" s="2">
        <v>0</v>
      </c>
      <c r="I441" s="22">
        <f>SUM(H441:H1031)-SUM(I444:I1031)</f>
        <v>0</v>
      </c>
      <c r="J441" s="2">
        <v>1344</v>
      </c>
      <c r="K441" s="22">
        <f>SUM(J441:J1031)-SUM(K444:K1031)</f>
        <v>3744</v>
      </c>
      <c r="L441" s="2">
        <v>160</v>
      </c>
      <c r="M441" s="22">
        <f>SUM(L441:L1031)-SUM(M444:M1031)</f>
        <v>464</v>
      </c>
      <c r="N441" s="2">
        <v>0</v>
      </c>
      <c r="O441" s="22">
        <f>SUM(N441:N1031)-SUM(O444:O1031)</f>
        <v>0</v>
      </c>
      <c r="P441" s="2">
        <v>0</v>
      </c>
      <c r="Q441" s="22">
        <f>SUM(P441:P1031)-SUM(Q444:Q1031)</f>
        <v>120</v>
      </c>
      <c r="R441" s="21">
        <v>41.4</v>
      </c>
    </row>
    <row r="442" spans="1:18" x14ac:dyDescent="0.3">
      <c r="A442" s="21"/>
      <c r="B442" s="24"/>
      <c r="C442" s="2" t="s">
        <v>11</v>
      </c>
      <c r="D442" s="2">
        <v>0</v>
      </c>
      <c r="E442" s="21"/>
      <c r="F442" s="2">
        <v>2688</v>
      </c>
      <c r="G442" s="21"/>
      <c r="H442" s="2">
        <v>0</v>
      </c>
      <c r="I442" s="21"/>
      <c r="J442" s="2">
        <v>1248</v>
      </c>
      <c r="K442" s="21"/>
      <c r="L442" s="2">
        <v>168</v>
      </c>
      <c r="M442" s="21"/>
      <c r="N442" s="2">
        <v>0</v>
      </c>
      <c r="O442" s="21"/>
      <c r="P442" s="2">
        <v>0</v>
      </c>
      <c r="Q442" s="21"/>
      <c r="R442" s="21"/>
    </row>
    <row r="443" spans="1:18" x14ac:dyDescent="0.3">
      <c r="A443" s="21"/>
      <c r="B443" s="24"/>
      <c r="C443" s="2" t="s">
        <v>12</v>
      </c>
      <c r="D443" s="2">
        <v>0</v>
      </c>
      <c r="E443" s="21"/>
      <c r="F443" s="2">
        <v>2448</v>
      </c>
      <c r="G443" s="21"/>
      <c r="H443" s="2">
        <v>0</v>
      </c>
      <c r="I443" s="21"/>
      <c r="J443" s="2">
        <v>1152</v>
      </c>
      <c r="K443" s="21"/>
      <c r="L443" s="2">
        <v>136</v>
      </c>
      <c r="M443" s="21"/>
      <c r="N443" s="2">
        <v>0</v>
      </c>
      <c r="O443" s="21"/>
      <c r="P443" s="2">
        <v>120</v>
      </c>
      <c r="Q443" s="21"/>
      <c r="R443" s="21"/>
    </row>
    <row r="444" spans="1:18" x14ac:dyDescent="0.3">
      <c r="A444" s="21"/>
      <c r="B444" s="24">
        <v>45171</v>
      </c>
      <c r="C444" s="2" t="s">
        <v>10</v>
      </c>
      <c r="D444" s="2">
        <v>0</v>
      </c>
      <c r="E444" s="22">
        <f>SUM(D444:D1034)-SUM(E447:E1034)</f>
        <v>0</v>
      </c>
      <c r="F444" s="2">
        <v>3648</v>
      </c>
      <c r="G444" s="22">
        <f>SUM(F444:F1034)-SUM(G447:G1034)</f>
        <v>9504</v>
      </c>
      <c r="H444" s="2">
        <v>0</v>
      </c>
      <c r="I444" s="22">
        <f>SUM(H444:H1034)-SUM(I447:I1034)</f>
        <v>0</v>
      </c>
      <c r="J444" s="2">
        <v>854</v>
      </c>
      <c r="K444" s="22">
        <f>SUM(J444:J1034)-SUM(K447:K1034)</f>
        <v>2486</v>
      </c>
      <c r="L444" s="2">
        <v>108</v>
      </c>
      <c r="M444" s="22">
        <f>SUM(L444:L1034)-SUM(M447:M1034)</f>
        <v>444</v>
      </c>
      <c r="N444" s="2">
        <v>0</v>
      </c>
      <c r="O444" s="22">
        <f>SUM(N444:N1034)-SUM(O447:O1034)</f>
        <v>0</v>
      </c>
      <c r="P444" s="2">
        <v>0</v>
      </c>
      <c r="Q444" s="22">
        <f>SUM(P444:P1034)-SUM(Q447:Q1034)</f>
        <v>0</v>
      </c>
      <c r="R444" s="21">
        <v>40</v>
      </c>
    </row>
    <row r="445" spans="1:18" x14ac:dyDescent="0.3">
      <c r="A445" s="21"/>
      <c r="B445" s="24"/>
      <c r="C445" s="2" t="s">
        <v>11</v>
      </c>
      <c r="D445" s="2">
        <v>0</v>
      </c>
      <c r="E445" s="21"/>
      <c r="F445" s="2">
        <v>2928</v>
      </c>
      <c r="G445" s="21"/>
      <c r="H445" s="2">
        <v>0</v>
      </c>
      <c r="I445" s="21"/>
      <c r="J445" s="2">
        <v>816</v>
      </c>
      <c r="K445" s="21"/>
      <c r="L445" s="2">
        <v>176</v>
      </c>
      <c r="M445" s="21"/>
      <c r="N445" s="2">
        <v>0</v>
      </c>
      <c r="O445" s="21"/>
      <c r="P445" s="2">
        <v>0</v>
      </c>
      <c r="Q445" s="21"/>
      <c r="R445" s="21"/>
    </row>
    <row r="446" spans="1:18" x14ac:dyDescent="0.3">
      <c r="A446" s="21"/>
      <c r="B446" s="24"/>
      <c r="C446" s="2" t="s">
        <v>12</v>
      </c>
      <c r="D446" s="2">
        <v>0</v>
      </c>
      <c r="E446" s="21"/>
      <c r="F446" s="2">
        <v>2928</v>
      </c>
      <c r="G446" s="21"/>
      <c r="H446" s="2">
        <v>0</v>
      </c>
      <c r="I446" s="21"/>
      <c r="J446" s="2">
        <v>816</v>
      </c>
      <c r="K446" s="21"/>
      <c r="L446" s="2">
        <v>160</v>
      </c>
      <c r="M446" s="21"/>
      <c r="N446" s="2">
        <v>0</v>
      </c>
      <c r="O446" s="21"/>
      <c r="P446" s="2">
        <v>0</v>
      </c>
      <c r="Q446" s="21"/>
      <c r="R446" s="21"/>
    </row>
    <row r="447" spans="1:18" x14ac:dyDescent="0.3">
      <c r="A447" s="21"/>
      <c r="B447" s="23">
        <v>45172</v>
      </c>
      <c r="C447" s="2" t="s">
        <v>10</v>
      </c>
      <c r="D447" s="2">
        <v>0</v>
      </c>
      <c r="E447" s="26">
        <f>SUM(D447:D1037)-SUM(E450:E1037)</f>
        <v>0</v>
      </c>
      <c r="F447" s="2">
        <v>4536</v>
      </c>
      <c r="G447" s="26">
        <f>SUM(F447:F1037)-SUM(G450:G1037)</f>
        <v>10056</v>
      </c>
      <c r="H447" s="2">
        <v>0</v>
      </c>
      <c r="I447" s="26">
        <f>SUM(H447:H1037)-SUM(I450:I1037)</f>
        <v>500</v>
      </c>
      <c r="J447" s="2">
        <v>1440</v>
      </c>
      <c r="K447" s="26">
        <f>SUM(J447:J1037)-SUM(K450:K1037)</f>
        <v>2640</v>
      </c>
      <c r="L447" s="2">
        <v>150</v>
      </c>
      <c r="M447" s="26">
        <f>SUM(L447:L1037)-SUM(M450:M1037)</f>
        <v>486</v>
      </c>
      <c r="N447" s="2">
        <v>0</v>
      </c>
      <c r="O447" s="26">
        <f>SUM(N447:N1037)-SUM(O450:O1037)</f>
        <v>0</v>
      </c>
      <c r="P447" s="2">
        <v>140</v>
      </c>
      <c r="Q447" s="26">
        <f>SUM(P447:P1037)-SUM(Q450:Q1037)</f>
        <v>140</v>
      </c>
      <c r="R447" s="21"/>
    </row>
    <row r="448" spans="1:18" x14ac:dyDescent="0.3">
      <c r="A448" s="21"/>
      <c r="B448" s="23"/>
      <c r="C448" s="2" t="s">
        <v>11</v>
      </c>
      <c r="D448" s="2">
        <v>0</v>
      </c>
      <c r="E448" s="27"/>
      <c r="F448" s="2">
        <v>2688</v>
      </c>
      <c r="G448" s="27"/>
      <c r="H448" s="2">
        <v>0</v>
      </c>
      <c r="I448" s="27"/>
      <c r="J448" s="2">
        <v>816</v>
      </c>
      <c r="K448" s="27"/>
      <c r="L448" s="2">
        <v>168</v>
      </c>
      <c r="M448" s="27"/>
      <c r="N448" s="2">
        <v>0</v>
      </c>
      <c r="O448" s="27"/>
      <c r="P448" s="2">
        <v>0</v>
      </c>
      <c r="Q448" s="27"/>
      <c r="R448" s="21"/>
    </row>
    <row r="449" spans="1:18" x14ac:dyDescent="0.3">
      <c r="A449" s="21"/>
      <c r="B449" s="23"/>
      <c r="C449" s="2" t="s">
        <v>12</v>
      </c>
      <c r="D449" s="2">
        <v>0</v>
      </c>
      <c r="E449" s="27"/>
      <c r="F449" s="2">
        <v>2832</v>
      </c>
      <c r="G449" s="27"/>
      <c r="H449" s="2">
        <v>500</v>
      </c>
      <c r="I449" s="27"/>
      <c r="J449" s="2">
        <v>384</v>
      </c>
      <c r="K449" s="27"/>
      <c r="L449" s="2">
        <v>168</v>
      </c>
      <c r="M449" s="27"/>
      <c r="N449" s="2">
        <v>0</v>
      </c>
      <c r="O449" s="27"/>
      <c r="P449" s="2">
        <v>0</v>
      </c>
      <c r="Q449" s="27"/>
      <c r="R449" s="21"/>
    </row>
    <row r="450" spans="1:18" x14ac:dyDescent="0.3">
      <c r="A450" s="21"/>
      <c r="B450" s="24">
        <v>45173</v>
      </c>
      <c r="C450" s="2" t="s">
        <v>10</v>
      </c>
      <c r="D450" s="2">
        <v>0</v>
      </c>
      <c r="E450" s="22">
        <f>SUM(D450:D1040)-SUM(E453:E1040)</f>
        <v>0</v>
      </c>
      <c r="F450" s="2">
        <v>2112</v>
      </c>
      <c r="G450" s="22">
        <f>SUM(F450:F1040)-SUM(G453:G1040)</f>
        <v>5818</v>
      </c>
      <c r="H450" s="2">
        <v>0</v>
      </c>
      <c r="I450" s="22">
        <f>SUM(H450:H1040)-SUM(I453:I1040)</f>
        <v>0</v>
      </c>
      <c r="J450" s="2">
        <v>816</v>
      </c>
      <c r="K450" s="22">
        <f>SUM(J450:J1040)-SUM(K453:K1040)</f>
        <v>2736</v>
      </c>
      <c r="L450" s="2">
        <v>166</v>
      </c>
      <c r="M450" s="22">
        <f>SUM(L450:L1040)-SUM(M453:M1040)</f>
        <v>489</v>
      </c>
      <c r="N450" s="2">
        <v>0</v>
      </c>
      <c r="O450" s="22">
        <f>SUM(N450:N1040)-SUM(O453:O1040)</f>
        <v>0</v>
      </c>
      <c r="P450" s="2">
        <v>0</v>
      </c>
      <c r="Q450" s="22">
        <f>SUM(P450:P1040)-SUM(Q453:Q1040)</f>
        <v>0</v>
      </c>
      <c r="R450" s="21">
        <v>60</v>
      </c>
    </row>
    <row r="451" spans="1:18" x14ac:dyDescent="0.3">
      <c r="A451" s="21"/>
      <c r="B451" s="24"/>
      <c r="C451" s="2" t="s">
        <v>11</v>
      </c>
      <c r="D451" s="2">
        <v>0</v>
      </c>
      <c r="E451" s="21"/>
      <c r="F451" s="2">
        <v>1642</v>
      </c>
      <c r="G451" s="21"/>
      <c r="H451" s="2">
        <v>0</v>
      </c>
      <c r="I451" s="21"/>
      <c r="J451" s="2">
        <v>960</v>
      </c>
      <c r="K451" s="21"/>
      <c r="L451" s="2">
        <v>163</v>
      </c>
      <c r="M451" s="21"/>
      <c r="N451" s="2">
        <v>0</v>
      </c>
      <c r="O451" s="21"/>
      <c r="P451" s="2">
        <v>0</v>
      </c>
      <c r="Q451" s="21"/>
      <c r="R451" s="21"/>
    </row>
    <row r="452" spans="1:18" x14ac:dyDescent="0.3">
      <c r="A452" s="21"/>
      <c r="B452" s="24"/>
      <c r="C452" s="2" t="s">
        <v>12</v>
      </c>
      <c r="D452" s="2">
        <v>0</v>
      </c>
      <c r="E452" s="21"/>
      <c r="F452" s="2">
        <v>2064</v>
      </c>
      <c r="G452" s="21"/>
      <c r="H452" s="2">
        <v>0</v>
      </c>
      <c r="I452" s="21"/>
      <c r="J452" s="2">
        <v>960</v>
      </c>
      <c r="K452" s="21"/>
      <c r="L452" s="2">
        <v>160</v>
      </c>
      <c r="M452" s="21"/>
      <c r="N452" s="2">
        <v>0</v>
      </c>
      <c r="O452" s="21"/>
      <c r="P452" s="2">
        <v>0</v>
      </c>
      <c r="Q452" s="21"/>
      <c r="R452" s="21"/>
    </row>
    <row r="453" spans="1:18" x14ac:dyDescent="0.3">
      <c r="A453" s="21"/>
      <c r="B453" s="24">
        <v>45174</v>
      </c>
      <c r="C453" s="2" t="s">
        <v>10</v>
      </c>
      <c r="D453" s="2">
        <v>0</v>
      </c>
      <c r="E453" s="22">
        <f>SUM(D453:D1043)-SUM(E456:E1043)</f>
        <v>0</v>
      </c>
      <c r="F453" s="2">
        <v>1872</v>
      </c>
      <c r="G453" s="22">
        <f>SUM(F453:F1043)-SUM(G456:G1043)</f>
        <v>5424</v>
      </c>
      <c r="H453" s="2">
        <v>0</v>
      </c>
      <c r="I453" s="22">
        <f>SUM(H453:H1043)-SUM(I456:I1043)</f>
        <v>0</v>
      </c>
      <c r="J453" s="2">
        <v>960</v>
      </c>
      <c r="K453" s="22">
        <f>SUM(J453:J1043)-SUM(K456:K1043)</f>
        <v>2784</v>
      </c>
      <c r="L453" s="2">
        <v>184</v>
      </c>
      <c r="M453" s="22">
        <f>SUM(L453:L1043)-SUM(M456:M1043)</f>
        <v>468</v>
      </c>
      <c r="N453" s="2">
        <v>0</v>
      </c>
      <c r="O453" s="22">
        <f>SUM(N453:N1043)-SUM(O456:O1043)</f>
        <v>0</v>
      </c>
      <c r="P453" s="2">
        <v>0</v>
      </c>
      <c r="Q453" s="22">
        <f>SUM(P453:P1043)-SUM(Q456:Q1043)</f>
        <v>770</v>
      </c>
      <c r="R453" s="21">
        <v>28</v>
      </c>
    </row>
    <row r="454" spans="1:18" x14ac:dyDescent="0.3">
      <c r="A454" s="21"/>
      <c r="B454" s="24"/>
      <c r="C454" s="2" t="s">
        <v>11</v>
      </c>
      <c r="D454" s="2">
        <v>0</v>
      </c>
      <c r="E454" s="21"/>
      <c r="F454" s="2">
        <v>1584</v>
      </c>
      <c r="G454" s="21"/>
      <c r="H454" s="2">
        <v>0</v>
      </c>
      <c r="I454" s="21"/>
      <c r="J454" s="2">
        <v>864</v>
      </c>
      <c r="K454" s="21"/>
      <c r="L454" s="2">
        <v>168</v>
      </c>
      <c r="M454" s="21"/>
      <c r="N454" s="2">
        <v>0</v>
      </c>
      <c r="O454" s="21"/>
      <c r="P454" s="2">
        <v>0</v>
      </c>
      <c r="Q454" s="21"/>
      <c r="R454" s="21"/>
    </row>
    <row r="455" spans="1:18" x14ac:dyDescent="0.3">
      <c r="A455" s="21"/>
      <c r="B455" s="24"/>
      <c r="C455" s="2" t="s">
        <v>12</v>
      </c>
      <c r="D455" s="2">
        <v>0</v>
      </c>
      <c r="E455" s="21"/>
      <c r="F455" s="2">
        <v>1968</v>
      </c>
      <c r="G455" s="21"/>
      <c r="H455" s="2">
        <v>0</v>
      </c>
      <c r="I455" s="21"/>
      <c r="J455" s="2">
        <v>960</v>
      </c>
      <c r="K455" s="21"/>
      <c r="L455" s="2">
        <v>116</v>
      </c>
      <c r="M455" s="21"/>
      <c r="N455" s="2">
        <v>0</v>
      </c>
      <c r="O455" s="21"/>
      <c r="P455" s="2">
        <v>770</v>
      </c>
      <c r="Q455" s="21"/>
      <c r="R455" s="21"/>
    </row>
    <row r="456" spans="1:18" x14ac:dyDescent="0.3">
      <c r="A456" s="21"/>
      <c r="B456" s="24">
        <v>45175</v>
      </c>
      <c r="C456" s="2" t="s">
        <v>10</v>
      </c>
      <c r="D456" s="2">
        <v>0</v>
      </c>
      <c r="E456" s="22">
        <f>SUM(D456:D1046)-SUM(E459:E1046)</f>
        <v>0</v>
      </c>
      <c r="F456" s="2">
        <v>1968</v>
      </c>
      <c r="G456" s="22">
        <f>SUM(F456:F1046)-SUM(G459:G1046)</f>
        <v>4992</v>
      </c>
      <c r="H456" s="2">
        <v>0</v>
      </c>
      <c r="I456" s="22">
        <f>SUM(H456:H1046)-SUM(I459:I1046)</f>
        <v>0</v>
      </c>
      <c r="J456" s="2">
        <v>960</v>
      </c>
      <c r="K456" s="22">
        <f>SUM(J456:J1046)-SUM(K459:K1046)</f>
        <v>2688</v>
      </c>
      <c r="L456" s="2">
        <v>152</v>
      </c>
      <c r="M456" s="22">
        <f>SUM(L456:L1046)-SUM(M459:M1046)</f>
        <v>464</v>
      </c>
      <c r="N456" s="2">
        <v>0</v>
      </c>
      <c r="O456" s="22">
        <f>SUM(N456:N1046)-SUM(O459:O1046)</f>
        <v>0</v>
      </c>
      <c r="P456" s="2">
        <v>0</v>
      </c>
      <c r="Q456" s="22">
        <f>SUM(P456:P1046)-SUM(Q459:Q1046)</f>
        <v>180</v>
      </c>
      <c r="R456" s="21">
        <v>41</v>
      </c>
    </row>
    <row r="457" spans="1:18" x14ac:dyDescent="0.3">
      <c r="A457" s="21"/>
      <c r="B457" s="24"/>
      <c r="C457" s="2" t="s">
        <v>11</v>
      </c>
      <c r="D457" s="2">
        <v>0</v>
      </c>
      <c r="E457" s="21"/>
      <c r="F457" s="2">
        <v>1536</v>
      </c>
      <c r="G457" s="21"/>
      <c r="H457" s="2">
        <v>0</v>
      </c>
      <c r="I457" s="21"/>
      <c r="J457" s="2">
        <v>864</v>
      </c>
      <c r="K457" s="21"/>
      <c r="L457" s="2">
        <v>168</v>
      </c>
      <c r="M457" s="21"/>
      <c r="N457" s="2">
        <v>0</v>
      </c>
      <c r="O457" s="21"/>
      <c r="P457" s="2">
        <v>0</v>
      </c>
      <c r="Q457" s="21"/>
      <c r="R457" s="21"/>
    </row>
    <row r="458" spans="1:18" x14ac:dyDescent="0.3">
      <c r="A458" s="21"/>
      <c r="B458" s="24"/>
      <c r="C458" s="2" t="s">
        <v>12</v>
      </c>
      <c r="D458" s="2">
        <v>0</v>
      </c>
      <c r="E458" s="21"/>
      <c r="F458" s="2">
        <v>1488</v>
      </c>
      <c r="G458" s="21"/>
      <c r="H458" s="2">
        <v>0</v>
      </c>
      <c r="I458" s="21"/>
      <c r="J458" s="2">
        <v>864</v>
      </c>
      <c r="K458" s="21"/>
      <c r="L458" s="2">
        <v>144</v>
      </c>
      <c r="M458" s="21"/>
      <c r="N458" s="2">
        <v>0</v>
      </c>
      <c r="O458" s="21"/>
      <c r="P458" s="2">
        <v>180</v>
      </c>
      <c r="Q458" s="21"/>
      <c r="R458" s="21"/>
    </row>
    <row r="459" spans="1:18" x14ac:dyDescent="0.3">
      <c r="A459" s="21"/>
      <c r="B459" s="24">
        <v>45176</v>
      </c>
      <c r="C459" s="2" t="s">
        <v>10</v>
      </c>
      <c r="D459" s="2">
        <v>0</v>
      </c>
      <c r="E459" s="22">
        <f>SUM(D459:D1049)-SUM(E462:E1049)</f>
        <v>0</v>
      </c>
      <c r="F459" s="2">
        <v>1632</v>
      </c>
      <c r="G459" s="22">
        <f>SUM(F459:F1049)-SUM(G462:G1049)</f>
        <v>5424</v>
      </c>
      <c r="H459" s="2">
        <v>0</v>
      </c>
      <c r="I459" s="22">
        <f>SUM(H459:H1049)-SUM(I462:I1049)</f>
        <v>0</v>
      </c>
      <c r="J459" s="2">
        <v>960</v>
      </c>
      <c r="K459" s="22">
        <f>SUM(J459:J1049)-SUM(K462:K1049)</f>
        <v>2688</v>
      </c>
      <c r="L459" s="2">
        <v>160</v>
      </c>
      <c r="M459" s="22">
        <f>SUM(L459:L1049)-SUM(M462:M1049)</f>
        <v>492</v>
      </c>
      <c r="N459" s="2">
        <v>0</v>
      </c>
      <c r="O459" s="22">
        <f>SUM(N459:N1049)-SUM(O462:O1049)</f>
        <v>0</v>
      </c>
      <c r="P459" s="2">
        <v>0</v>
      </c>
      <c r="Q459" s="22">
        <f>SUM(P459:P1049)-SUM(Q462:Q1049)</f>
        <v>0</v>
      </c>
      <c r="R459" s="21">
        <v>33</v>
      </c>
    </row>
    <row r="460" spans="1:18" x14ac:dyDescent="0.3">
      <c r="A460" s="21"/>
      <c r="B460" s="24"/>
      <c r="C460" s="2" t="s">
        <v>11</v>
      </c>
      <c r="D460" s="2">
        <v>0</v>
      </c>
      <c r="E460" s="21"/>
      <c r="F460" s="2">
        <v>1488</v>
      </c>
      <c r="G460" s="21"/>
      <c r="H460" s="2">
        <v>0</v>
      </c>
      <c r="I460" s="21"/>
      <c r="J460" s="2">
        <v>864</v>
      </c>
      <c r="K460" s="21"/>
      <c r="L460" s="2">
        <v>168</v>
      </c>
      <c r="M460" s="21"/>
      <c r="N460" s="2">
        <v>0</v>
      </c>
      <c r="O460" s="21"/>
      <c r="P460" s="2">
        <v>0</v>
      </c>
      <c r="Q460" s="21"/>
      <c r="R460" s="21"/>
    </row>
    <row r="461" spans="1:18" x14ac:dyDescent="0.3">
      <c r="A461" s="21"/>
      <c r="B461" s="24"/>
      <c r="C461" s="2" t="s">
        <v>12</v>
      </c>
      <c r="D461" s="2">
        <v>0</v>
      </c>
      <c r="E461" s="21"/>
      <c r="F461" s="2">
        <v>2304</v>
      </c>
      <c r="G461" s="21"/>
      <c r="H461" s="2">
        <v>0</v>
      </c>
      <c r="I461" s="21"/>
      <c r="J461" s="2">
        <v>864</v>
      </c>
      <c r="K461" s="21"/>
      <c r="L461" s="2">
        <v>164</v>
      </c>
      <c r="M461" s="21"/>
      <c r="N461" s="2">
        <v>0</v>
      </c>
      <c r="O461" s="21"/>
      <c r="P461" s="2">
        <v>0</v>
      </c>
      <c r="Q461" s="21"/>
      <c r="R461" s="21"/>
    </row>
    <row r="462" spans="1:18" x14ac:dyDescent="0.3">
      <c r="A462" s="21"/>
      <c r="B462" s="24">
        <v>45177</v>
      </c>
      <c r="C462" s="2" t="s">
        <v>10</v>
      </c>
      <c r="D462" s="2">
        <v>0</v>
      </c>
      <c r="E462" s="22">
        <f>SUM(D462:D1052)-SUM(E465:E1052)</f>
        <v>220</v>
      </c>
      <c r="F462" s="2">
        <v>2496</v>
      </c>
      <c r="G462" s="22">
        <f>SUM(F462:F1052)-SUM(G465:G1052)</f>
        <v>8592</v>
      </c>
      <c r="H462" s="2">
        <v>0</v>
      </c>
      <c r="I462" s="22">
        <f>SUM(H462:H1052)-SUM(I465:I1052)</f>
        <v>0</v>
      </c>
      <c r="J462" s="2">
        <v>960</v>
      </c>
      <c r="K462" s="22">
        <f>SUM(J462:J1052)-SUM(K465:K1052)</f>
        <v>2100</v>
      </c>
      <c r="L462" s="2">
        <v>168</v>
      </c>
      <c r="M462" s="22">
        <f>SUM(L462:L1052)-SUM(M465:M1052)</f>
        <v>500</v>
      </c>
      <c r="N462" s="2">
        <v>0</v>
      </c>
      <c r="O462" s="22">
        <f>SUM(N462:N1052)-SUM(O465:O1052)</f>
        <v>0</v>
      </c>
      <c r="P462" s="2">
        <v>0</v>
      </c>
      <c r="Q462" s="22">
        <f>SUM(P462:P1052)-SUM(Q465:Q1052)</f>
        <v>0</v>
      </c>
      <c r="R462" s="21">
        <v>138</v>
      </c>
    </row>
    <row r="463" spans="1:18" x14ac:dyDescent="0.3">
      <c r="A463" s="21"/>
      <c r="B463" s="24"/>
      <c r="C463" s="2" t="s">
        <v>11</v>
      </c>
      <c r="D463" s="2">
        <v>0</v>
      </c>
      <c r="E463" s="21"/>
      <c r="F463" s="2">
        <v>2688</v>
      </c>
      <c r="G463" s="21"/>
      <c r="H463" s="2">
        <v>0</v>
      </c>
      <c r="I463" s="21"/>
      <c r="J463" s="2">
        <v>720</v>
      </c>
      <c r="K463" s="21"/>
      <c r="L463" s="2">
        <v>168</v>
      </c>
      <c r="M463" s="21"/>
      <c r="N463" s="2">
        <v>0</v>
      </c>
      <c r="O463" s="21"/>
      <c r="P463" s="2">
        <v>0</v>
      </c>
      <c r="Q463" s="21"/>
      <c r="R463" s="21"/>
    </row>
    <row r="464" spans="1:18" x14ac:dyDescent="0.3">
      <c r="A464" s="21"/>
      <c r="B464" s="24"/>
      <c r="C464" s="2" t="s">
        <v>12</v>
      </c>
      <c r="D464" s="2">
        <v>220</v>
      </c>
      <c r="E464" s="21"/>
      <c r="F464" s="2">
        <v>3408</v>
      </c>
      <c r="G464" s="21"/>
      <c r="H464" s="2">
        <v>0</v>
      </c>
      <c r="I464" s="21"/>
      <c r="J464" s="2">
        <v>420</v>
      </c>
      <c r="K464" s="21"/>
      <c r="L464" s="2">
        <v>164</v>
      </c>
      <c r="M464" s="21"/>
      <c r="N464" s="2">
        <v>0</v>
      </c>
      <c r="O464" s="21"/>
      <c r="P464" s="2">
        <v>0</v>
      </c>
      <c r="Q464" s="21"/>
      <c r="R464" s="21"/>
    </row>
    <row r="465" spans="1:18" x14ac:dyDescent="0.3">
      <c r="A465" s="21"/>
      <c r="B465" s="23">
        <v>45178</v>
      </c>
      <c r="C465" s="2" t="s">
        <v>10</v>
      </c>
      <c r="D465" s="2">
        <v>240</v>
      </c>
      <c r="E465" s="26">
        <f>SUM(D465:D1055)-SUM(E468:E1055)</f>
        <v>900</v>
      </c>
      <c r="F465" s="2">
        <v>624</v>
      </c>
      <c r="G465" s="26">
        <f>SUM(F465:F1055)-SUM(G468:G1055)</f>
        <v>6720</v>
      </c>
      <c r="H465" s="2">
        <v>0</v>
      </c>
      <c r="I465" s="26">
        <f>SUM(H465:H1055)-SUM(I468:I1055)</f>
        <v>0</v>
      </c>
      <c r="J465" s="2">
        <v>1634</v>
      </c>
      <c r="K465" s="26">
        <f>SUM(J465:J1055)-SUM(K468:K1055)</f>
        <v>2774</v>
      </c>
      <c r="L465" s="2">
        <v>176</v>
      </c>
      <c r="M465" s="26">
        <f>SUM(L465:L1055)-SUM(M468:M1055)</f>
        <v>508</v>
      </c>
      <c r="N465" s="2">
        <v>0</v>
      </c>
      <c r="O465" s="26">
        <f>SUM(N465:N1055)-SUM(O468:O1055)</f>
        <v>0</v>
      </c>
      <c r="P465" s="2">
        <v>0</v>
      </c>
      <c r="Q465" s="26">
        <f>SUM(P465:P1055)-SUM(Q468:Q1055)</f>
        <v>0</v>
      </c>
      <c r="R465" s="21">
        <v>96</v>
      </c>
    </row>
    <row r="466" spans="1:18" x14ac:dyDescent="0.3">
      <c r="A466" s="21"/>
      <c r="B466" s="23"/>
      <c r="C466" s="2" t="s">
        <v>11</v>
      </c>
      <c r="D466" s="2">
        <v>360</v>
      </c>
      <c r="E466" s="27"/>
      <c r="F466" s="2">
        <v>2976</v>
      </c>
      <c r="G466" s="27"/>
      <c r="H466" s="2">
        <v>0</v>
      </c>
      <c r="I466" s="27"/>
      <c r="J466" s="2">
        <v>720</v>
      </c>
      <c r="K466" s="27"/>
      <c r="L466" s="2">
        <v>168</v>
      </c>
      <c r="M466" s="27"/>
      <c r="N466" s="2">
        <v>0</v>
      </c>
      <c r="O466" s="27"/>
      <c r="P466" s="2">
        <v>0</v>
      </c>
      <c r="Q466" s="27"/>
      <c r="R466" s="21"/>
    </row>
    <row r="467" spans="1:18" x14ac:dyDescent="0.3">
      <c r="A467" s="21"/>
      <c r="B467" s="23"/>
      <c r="C467" s="2" t="s">
        <v>12</v>
      </c>
      <c r="D467" s="2">
        <v>300</v>
      </c>
      <c r="E467" s="27"/>
      <c r="F467" s="2">
        <v>3120</v>
      </c>
      <c r="G467" s="27"/>
      <c r="H467" s="2">
        <v>0</v>
      </c>
      <c r="I467" s="27"/>
      <c r="J467" s="2">
        <v>420</v>
      </c>
      <c r="K467" s="27"/>
      <c r="L467" s="2">
        <v>164</v>
      </c>
      <c r="M467" s="27"/>
      <c r="N467" s="2">
        <v>0</v>
      </c>
      <c r="O467" s="27"/>
      <c r="P467" s="2">
        <v>0</v>
      </c>
      <c r="Q467" s="27"/>
      <c r="R467" s="21"/>
    </row>
    <row r="468" spans="1:18" x14ac:dyDescent="0.3">
      <c r="A468" s="21"/>
      <c r="B468" s="24">
        <v>45179</v>
      </c>
      <c r="C468" s="2" t="s">
        <v>10</v>
      </c>
      <c r="D468" s="2">
        <v>0</v>
      </c>
      <c r="E468" s="22">
        <f>SUM(D468:D1058)-SUM(E471:E1058)</f>
        <v>100</v>
      </c>
      <c r="F468" s="2">
        <v>1152</v>
      </c>
      <c r="G468" s="22">
        <f>SUM(F468:F1058)-SUM(G471:G1058)</f>
        <v>6384</v>
      </c>
      <c r="H468" s="2">
        <v>0</v>
      </c>
      <c r="I468" s="22">
        <f>SUM(H468:H1058)-SUM(I471:I1058)</f>
        <v>500</v>
      </c>
      <c r="J468" s="2">
        <v>960</v>
      </c>
      <c r="K468" s="22">
        <f>SUM(J468:J1058)-SUM(K471:K1058)</f>
        <v>2142</v>
      </c>
      <c r="L468" s="2">
        <v>168</v>
      </c>
      <c r="M468" s="22">
        <f>SUM(L468:L1058)-SUM(M471:M1058)</f>
        <v>500</v>
      </c>
      <c r="N468" s="2">
        <v>0</v>
      </c>
      <c r="O468" s="22">
        <f>SUM(N468:N1058)-SUM(O471:O1058)</f>
        <v>0</v>
      </c>
      <c r="P468" s="2">
        <v>0</v>
      </c>
      <c r="Q468" s="22">
        <f>SUM(P468:P1058)-SUM(Q471:Q1058)</f>
        <v>0</v>
      </c>
      <c r="R468" s="21"/>
    </row>
    <row r="469" spans="1:18" x14ac:dyDescent="0.3">
      <c r="A469" s="21"/>
      <c r="B469" s="24"/>
      <c r="C469" s="2" t="s">
        <v>11</v>
      </c>
      <c r="D469" s="2">
        <v>0</v>
      </c>
      <c r="E469" s="21"/>
      <c r="F469" s="2">
        <v>3120</v>
      </c>
      <c r="G469" s="21"/>
      <c r="H469" s="2">
        <v>0</v>
      </c>
      <c r="I469" s="21"/>
      <c r="J469" s="2">
        <v>864</v>
      </c>
      <c r="K469" s="21"/>
      <c r="L469" s="2">
        <v>168</v>
      </c>
      <c r="M469" s="21"/>
      <c r="N469" s="2">
        <v>0</v>
      </c>
      <c r="O469" s="21"/>
      <c r="P469" s="2">
        <v>0</v>
      </c>
      <c r="Q469" s="21"/>
      <c r="R469" s="21"/>
    </row>
    <row r="470" spans="1:18" x14ac:dyDescent="0.3">
      <c r="A470" s="21"/>
      <c r="B470" s="24"/>
      <c r="C470" s="2" t="s">
        <v>12</v>
      </c>
      <c r="D470" s="2">
        <v>100</v>
      </c>
      <c r="E470" s="21"/>
      <c r="F470" s="2">
        <v>2112</v>
      </c>
      <c r="G470" s="21"/>
      <c r="H470" s="2">
        <v>500</v>
      </c>
      <c r="I470" s="21"/>
      <c r="J470" s="2">
        <v>318</v>
      </c>
      <c r="K470" s="21"/>
      <c r="L470" s="2">
        <v>164</v>
      </c>
      <c r="M470" s="21"/>
      <c r="N470" s="2">
        <v>0</v>
      </c>
      <c r="O470" s="21"/>
      <c r="P470" s="2">
        <v>0</v>
      </c>
      <c r="Q470" s="21"/>
      <c r="R470" s="21"/>
    </row>
    <row r="471" spans="1:18" x14ac:dyDescent="0.3">
      <c r="A471" s="21"/>
      <c r="B471" s="24">
        <v>45180</v>
      </c>
      <c r="C471" s="2" t="s">
        <v>10</v>
      </c>
      <c r="D471" s="2">
        <v>0</v>
      </c>
      <c r="E471" s="22">
        <f>SUM(D471:D1061)-SUM(E474:E1061)</f>
        <v>0</v>
      </c>
      <c r="F471" s="2">
        <v>912</v>
      </c>
      <c r="G471" s="22">
        <f>SUM(F471:F1061)-SUM(G474:G1061)</f>
        <v>3458</v>
      </c>
      <c r="H471" s="2">
        <v>0</v>
      </c>
      <c r="I471" s="22">
        <f>SUM(H471:H1061)-SUM(I474:I1061)</f>
        <v>0</v>
      </c>
      <c r="J471" s="2">
        <v>1584</v>
      </c>
      <c r="K471" s="22">
        <f>SUM(J471:J1061)-SUM(K474:K1061)</f>
        <v>4992</v>
      </c>
      <c r="L471" s="2">
        <v>168</v>
      </c>
      <c r="M471" s="22">
        <f>SUM(L471:L1061)-SUM(M474:M1061)</f>
        <v>520</v>
      </c>
      <c r="N471" s="2">
        <v>0</v>
      </c>
      <c r="O471" s="22">
        <f>SUM(N471:N1061)-SUM(O474:O1061)</f>
        <v>0</v>
      </c>
      <c r="P471" s="2">
        <v>0</v>
      </c>
      <c r="Q471" s="22">
        <f>SUM(P471:P1061)-SUM(Q474:Q1061)</f>
        <v>0</v>
      </c>
      <c r="R471" s="21">
        <v>101</v>
      </c>
    </row>
    <row r="472" spans="1:18" x14ac:dyDescent="0.3">
      <c r="A472" s="21"/>
      <c r="B472" s="24"/>
      <c r="C472" s="2" t="s">
        <v>11</v>
      </c>
      <c r="D472" s="2">
        <v>0</v>
      </c>
      <c r="E472" s="21"/>
      <c r="F472" s="2">
        <v>1874</v>
      </c>
      <c r="G472" s="21"/>
      <c r="H472" s="2">
        <v>0</v>
      </c>
      <c r="I472" s="21"/>
      <c r="J472" s="2">
        <v>1248</v>
      </c>
      <c r="K472" s="21"/>
      <c r="L472" s="2">
        <v>176</v>
      </c>
      <c r="M472" s="21"/>
      <c r="N472" s="2">
        <v>0</v>
      </c>
      <c r="O472" s="21"/>
      <c r="P472" s="2">
        <v>0</v>
      </c>
      <c r="Q472" s="21"/>
      <c r="R472" s="21"/>
    </row>
    <row r="473" spans="1:18" x14ac:dyDescent="0.3">
      <c r="A473" s="21"/>
      <c r="B473" s="24"/>
      <c r="C473" s="2" t="s">
        <v>12</v>
      </c>
      <c r="D473" s="2">
        <v>0</v>
      </c>
      <c r="E473" s="21"/>
      <c r="F473" s="2">
        <v>672</v>
      </c>
      <c r="G473" s="21"/>
      <c r="H473" s="2">
        <v>0</v>
      </c>
      <c r="I473" s="21"/>
      <c r="J473" s="2">
        <v>2160</v>
      </c>
      <c r="K473" s="21"/>
      <c r="L473" s="2">
        <v>176</v>
      </c>
      <c r="M473" s="21"/>
      <c r="N473" s="2">
        <v>0</v>
      </c>
      <c r="O473" s="21"/>
      <c r="P473" s="2">
        <v>0</v>
      </c>
      <c r="Q473" s="21"/>
      <c r="R473" s="21"/>
    </row>
    <row r="474" spans="1:18" x14ac:dyDescent="0.3">
      <c r="A474" s="21"/>
      <c r="B474" s="24">
        <v>45181</v>
      </c>
      <c r="C474" s="2" t="s">
        <v>10</v>
      </c>
      <c r="D474" s="2">
        <v>0</v>
      </c>
      <c r="E474" s="22">
        <f>SUM(D474:D1064)-SUM(E477:E1064)</f>
        <v>680</v>
      </c>
      <c r="F474" s="2">
        <v>0</v>
      </c>
      <c r="G474" s="22">
        <f>SUM(F474:F1064)-SUM(G477:G1064)</f>
        <v>480</v>
      </c>
      <c r="H474" s="2">
        <v>0</v>
      </c>
      <c r="I474" s="22">
        <f>SUM(H474:H1064)-SUM(I477:I1064)</f>
        <v>0</v>
      </c>
      <c r="J474" s="2">
        <v>2544</v>
      </c>
      <c r="K474" s="22">
        <f>SUM(J474:J1064)-SUM(K477:K1064)</f>
        <v>5904</v>
      </c>
      <c r="L474" s="2">
        <v>168</v>
      </c>
      <c r="M474" s="22">
        <f>SUM(L474:L1064)-SUM(M477:M1064)</f>
        <v>512</v>
      </c>
      <c r="N474" s="2">
        <v>0</v>
      </c>
      <c r="O474" s="22">
        <f>SUM(N474:N1064)-SUM(O477:O1064)</f>
        <v>0</v>
      </c>
      <c r="P474" s="2">
        <v>0</v>
      </c>
      <c r="Q474" s="22">
        <f>SUM(P474:P1064)-SUM(Q477:Q1064)</f>
        <v>0</v>
      </c>
      <c r="R474" s="21"/>
    </row>
    <row r="475" spans="1:18" x14ac:dyDescent="0.3">
      <c r="A475" s="21"/>
      <c r="B475" s="24"/>
      <c r="C475" s="2" t="s">
        <v>11</v>
      </c>
      <c r="D475" s="2">
        <v>320</v>
      </c>
      <c r="E475" s="21"/>
      <c r="F475" s="2">
        <v>240</v>
      </c>
      <c r="G475" s="21"/>
      <c r="H475" s="2">
        <v>0</v>
      </c>
      <c r="I475" s="21"/>
      <c r="J475" s="2">
        <v>1680</v>
      </c>
      <c r="K475" s="21"/>
      <c r="L475" s="2">
        <v>176</v>
      </c>
      <c r="M475" s="21"/>
      <c r="N475" s="2">
        <v>0</v>
      </c>
      <c r="O475" s="21"/>
      <c r="P475" s="2">
        <v>0</v>
      </c>
      <c r="Q475" s="21"/>
      <c r="R475" s="21"/>
    </row>
    <row r="476" spans="1:18" x14ac:dyDescent="0.3">
      <c r="A476" s="21"/>
      <c r="B476" s="24"/>
      <c r="C476" s="2" t="s">
        <v>12</v>
      </c>
      <c r="D476" s="2">
        <v>360</v>
      </c>
      <c r="E476" s="21"/>
      <c r="F476" s="2">
        <v>240</v>
      </c>
      <c r="G476" s="21"/>
      <c r="H476" s="2">
        <v>0</v>
      </c>
      <c r="I476" s="21"/>
      <c r="J476" s="2">
        <v>1680</v>
      </c>
      <c r="K476" s="21"/>
      <c r="L476" s="2">
        <v>168</v>
      </c>
      <c r="M476" s="21"/>
      <c r="N476" s="2">
        <v>0</v>
      </c>
      <c r="O476" s="21"/>
      <c r="P476" s="2">
        <v>0</v>
      </c>
      <c r="Q476" s="21"/>
      <c r="R476" s="21"/>
    </row>
    <row r="477" spans="1:18" x14ac:dyDescent="0.3">
      <c r="A477" s="21"/>
      <c r="B477" s="24">
        <v>45182</v>
      </c>
      <c r="C477" s="2" t="s">
        <v>10</v>
      </c>
      <c r="D477" s="2">
        <v>360</v>
      </c>
      <c r="E477" s="22">
        <f>SUM(D477:D1067)-SUM(E480:E1067)</f>
        <v>980</v>
      </c>
      <c r="F477" s="2">
        <v>1104</v>
      </c>
      <c r="G477" s="22">
        <f>SUM(F477:F1067)-SUM(G480:G1067)</f>
        <v>3024</v>
      </c>
      <c r="H477" s="2">
        <v>0</v>
      </c>
      <c r="I477" s="22">
        <f>SUM(H477:H1067)-SUM(I480:I1067)</f>
        <v>0</v>
      </c>
      <c r="J477" s="2">
        <v>912</v>
      </c>
      <c r="K477" s="22">
        <f>SUM(J477:J1067)-SUM(K480:K1067)</f>
        <v>2832</v>
      </c>
      <c r="L477" s="2">
        <v>168</v>
      </c>
      <c r="M477" s="22">
        <f>SUM(L477:L1067)-SUM(M480:M1067)</f>
        <v>504</v>
      </c>
      <c r="N477" s="2">
        <v>0</v>
      </c>
      <c r="O477" s="22">
        <f>SUM(N477:N1067)-SUM(O480:O1067)</f>
        <v>0</v>
      </c>
      <c r="P477" s="2">
        <v>0</v>
      </c>
      <c r="Q477" s="22">
        <f>SUM(P477:P1067)-SUM(Q480:Q1067)</f>
        <v>0</v>
      </c>
      <c r="R477" s="21">
        <v>43</v>
      </c>
    </row>
    <row r="478" spans="1:18" x14ac:dyDescent="0.3">
      <c r="A478" s="21"/>
      <c r="B478" s="24"/>
      <c r="C478" s="2" t="s">
        <v>11</v>
      </c>
      <c r="D478" s="2">
        <v>360</v>
      </c>
      <c r="E478" s="21"/>
      <c r="F478" s="2">
        <v>960</v>
      </c>
      <c r="G478" s="21"/>
      <c r="H478" s="2">
        <v>0</v>
      </c>
      <c r="I478" s="21"/>
      <c r="J478" s="2">
        <v>960</v>
      </c>
      <c r="K478" s="21"/>
      <c r="L478" s="2">
        <v>168</v>
      </c>
      <c r="M478" s="21"/>
      <c r="N478" s="2">
        <v>0</v>
      </c>
      <c r="O478" s="21"/>
      <c r="P478" s="2">
        <v>0</v>
      </c>
      <c r="Q478" s="21"/>
      <c r="R478" s="21"/>
    </row>
    <row r="479" spans="1:18" x14ac:dyDescent="0.3">
      <c r="A479" s="21"/>
      <c r="B479" s="24"/>
      <c r="C479" s="2" t="s">
        <v>12</v>
      </c>
      <c r="D479" s="2">
        <v>260</v>
      </c>
      <c r="E479" s="21"/>
      <c r="F479" s="2">
        <v>960</v>
      </c>
      <c r="G479" s="21"/>
      <c r="H479" s="2">
        <v>0</v>
      </c>
      <c r="I479" s="21"/>
      <c r="J479" s="2">
        <v>960</v>
      </c>
      <c r="K479" s="21"/>
      <c r="L479" s="2">
        <v>168</v>
      </c>
      <c r="M479" s="21"/>
      <c r="N479" s="2">
        <v>0</v>
      </c>
      <c r="O479" s="21"/>
      <c r="P479" s="2">
        <v>0</v>
      </c>
      <c r="Q479" s="21"/>
      <c r="R479" s="21"/>
    </row>
    <row r="480" spans="1:18" x14ac:dyDescent="0.3">
      <c r="A480" s="21"/>
      <c r="B480" s="24">
        <v>45183</v>
      </c>
      <c r="C480" s="2" t="s">
        <v>10</v>
      </c>
      <c r="D480" s="2">
        <v>360</v>
      </c>
      <c r="E480" s="22">
        <f>SUM(D480:D1070)-SUM(E483:E1070)</f>
        <v>880</v>
      </c>
      <c r="F480" s="2">
        <v>1104</v>
      </c>
      <c r="G480" s="22">
        <f>SUM(F480:F1070)-SUM(G483:G1070)</f>
        <v>6672</v>
      </c>
      <c r="H480" s="2">
        <v>0</v>
      </c>
      <c r="I480" s="22">
        <f>SUM(H480:H1070)-SUM(I483:I1070)</f>
        <v>0</v>
      </c>
      <c r="J480" s="2">
        <v>960</v>
      </c>
      <c r="K480" s="22">
        <f>SUM(J480:J1070)-SUM(K483:K1070)</f>
        <v>960</v>
      </c>
      <c r="L480" s="2">
        <v>168</v>
      </c>
      <c r="M480" s="22">
        <f>SUM(L480:L1070)-SUM(M483:M1070)</f>
        <v>504</v>
      </c>
      <c r="N480" s="2">
        <v>0</v>
      </c>
      <c r="O480" s="22">
        <f>SUM(N480:N1070)-SUM(O483:O1070)</f>
        <v>0</v>
      </c>
      <c r="P480" s="2">
        <v>0</v>
      </c>
      <c r="Q480" s="22">
        <f>SUM(P480:P1070)-SUM(Q483:Q1070)</f>
        <v>0</v>
      </c>
      <c r="R480" s="21">
        <v>33</v>
      </c>
    </row>
    <row r="481" spans="1:18" x14ac:dyDescent="0.3">
      <c r="A481" s="21"/>
      <c r="B481" s="24"/>
      <c r="C481" s="2" t="s">
        <v>11</v>
      </c>
      <c r="D481" s="2">
        <v>320</v>
      </c>
      <c r="E481" s="21"/>
      <c r="F481" s="2">
        <v>2784</v>
      </c>
      <c r="G481" s="21"/>
      <c r="H481" s="2">
        <v>0</v>
      </c>
      <c r="I481" s="21"/>
      <c r="J481" s="2">
        <v>0</v>
      </c>
      <c r="K481" s="21"/>
      <c r="L481" s="2">
        <v>168</v>
      </c>
      <c r="M481" s="21"/>
      <c r="N481" s="2">
        <v>0</v>
      </c>
      <c r="O481" s="21"/>
      <c r="P481" s="2">
        <v>0</v>
      </c>
      <c r="Q481" s="21"/>
      <c r="R481" s="21"/>
    </row>
    <row r="482" spans="1:18" x14ac:dyDescent="0.3">
      <c r="A482" s="21"/>
      <c r="B482" s="24"/>
      <c r="C482" s="2" t="s">
        <v>12</v>
      </c>
      <c r="D482" s="2">
        <v>200</v>
      </c>
      <c r="E482" s="21"/>
      <c r="F482" s="2">
        <v>2784</v>
      </c>
      <c r="G482" s="21"/>
      <c r="H482" s="2">
        <v>0</v>
      </c>
      <c r="I482" s="21"/>
      <c r="J482" s="2">
        <v>0</v>
      </c>
      <c r="K482" s="21"/>
      <c r="L482" s="2">
        <v>168</v>
      </c>
      <c r="M482" s="21"/>
      <c r="N482" s="2">
        <v>0</v>
      </c>
      <c r="O482" s="21"/>
      <c r="P482" s="2">
        <v>0</v>
      </c>
      <c r="Q482" s="21"/>
      <c r="R482" s="21"/>
    </row>
    <row r="483" spans="1:18" x14ac:dyDescent="0.3">
      <c r="A483" s="21"/>
      <c r="B483" s="24">
        <v>45184</v>
      </c>
      <c r="C483" s="2" t="s">
        <v>10</v>
      </c>
      <c r="D483" s="2">
        <v>340</v>
      </c>
      <c r="E483" s="22">
        <f>SUM(D483:D1073)-SUM(E486:E1073)</f>
        <v>860</v>
      </c>
      <c r="F483" s="2">
        <v>2688</v>
      </c>
      <c r="G483" s="22">
        <f>SUM(F483:F1073)-SUM(G486:G1073)</f>
        <v>8160</v>
      </c>
      <c r="H483" s="2">
        <v>0</v>
      </c>
      <c r="I483" s="22">
        <f>SUM(H483:H1073)-SUM(I486:I1073)</f>
        <v>0</v>
      </c>
      <c r="J483" s="2">
        <v>0</v>
      </c>
      <c r="K483" s="22">
        <f>SUM(J483:J1073)-SUM(K486:K1073)</f>
        <v>0</v>
      </c>
      <c r="L483" s="2">
        <v>168</v>
      </c>
      <c r="M483" s="22">
        <f>SUM(L483:L1073)-SUM(M486:M1073)</f>
        <v>512</v>
      </c>
      <c r="N483" s="2">
        <v>0</v>
      </c>
      <c r="O483" s="22">
        <f>SUM(N483:N1073)-SUM(O486:O1073)</f>
        <v>0</v>
      </c>
      <c r="P483" s="2">
        <v>0</v>
      </c>
      <c r="Q483" s="22">
        <f>SUM(P483:P1073)-SUM(Q486:Q1073)</f>
        <v>0</v>
      </c>
      <c r="R483" s="21">
        <v>32</v>
      </c>
    </row>
    <row r="484" spans="1:18" x14ac:dyDescent="0.3">
      <c r="A484" s="21"/>
      <c r="B484" s="24"/>
      <c r="C484" s="2" t="s">
        <v>11</v>
      </c>
      <c r="D484" s="2">
        <v>320</v>
      </c>
      <c r="E484" s="21"/>
      <c r="F484" s="2">
        <v>2736</v>
      </c>
      <c r="G484" s="21"/>
      <c r="H484" s="2">
        <v>0</v>
      </c>
      <c r="I484" s="21"/>
      <c r="J484" s="2">
        <v>0</v>
      </c>
      <c r="K484" s="21"/>
      <c r="L484" s="2">
        <v>176</v>
      </c>
      <c r="M484" s="21"/>
      <c r="N484" s="2">
        <v>0</v>
      </c>
      <c r="O484" s="21"/>
      <c r="P484" s="2">
        <v>0</v>
      </c>
      <c r="Q484" s="21"/>
      <c r="R484" s="21"/>
    </row>
    <row r="485" spans="1:18" x14ac:dyDescent="0.3">
      <c r="A485" s="21"/>
      <c r="B485" s="24"/>
      <c r="C485" s="2" t="s">
        <v>12</v>
      </c>
      <c r="D485" s="2">
        <v>200</v>
      </c>
      <c r="E485" s="21"/>
      <c r="F485" s="2">
        <v>2736</v>
      </c>
      <c r="G485" s="21"/>
      <c r="H485" s="2">
        <v>0</v>
      </c>
      <c r="I485" s="21"/>
      <c r="J485" s="2">
        <v>0</v>
      </c>
      <c r="K485" s="21"/>
      <c r="L485" s="2">
        <v>168</v>
      </c>
      <c r="M485" s="21"/>
      <c r="N485" s="2">
        <v>0</v>
      </c>
      <c r="O485" s="21"/>
      <c r="P485" s="2">
        <v>0</v>
      </c>
      <c r="Q485" s="21"/>
      <c r="R485" s="21"/>
    </row>
    <row r="486" spans="1:18" x14ac:dyDescent="0.3">
      <c r="A486" s="21"/>
      <c r="B486" s="24">
        <v>45185</v>
      </c>
      <c r="C486" s="2" t="s">
        <v>10</v>
      </c>
      <c r="D486" s="2">
        <v>340</v>
      </c>
      <c r="E486" s="22">
        <f>SUM(D486:D1076)-SUM(E489:E1076)</f>
        <v>860</v>
      </c>
      <c r="F486" s="2">
        <v>1698</v>
      </c>
      <c r="G486" s="22">
        <f>SUM(F486:F1076)-SUM(G489:G1076)</f>
        <v>4578</v>
      </c>
      <c r="H486" s="2">
        <v>0</v>
      </c>
      <c r="I486" s="22">
        <f>SUM(H486:H1076)-SUM(I489:I1076)</f>
        <v>0</v>
      </c>
      <c r="J486" s="2">
        <v>336</v>
      </c>
      <c r="K486" s="22">
        <f>SUM(J486:J1076)-SUM(K489:K1076)</f>
        <v>1824</v>
      </c>
      <c r="L486" s="2">
        <v>168</v>
      </c>
      <c r="M486" s="22">
        <f>SUM(L486:L1076)-SUM(M489:M1076)</f>
        <v>512</v>
      </c>
      <c r="N486" s="2">
        <v>0</v>
      </c>
      <c r="O486" s="22">
        <f>SUM(N486:N1076)-SUM(O489:O1076)</f>
        <v>0</v>
      </c>
      <c r="P486" s="2">
        <v>0</v>
      </c>
      <c r="Q486" s="22">
        <f>SUM(P486:P1076)-SUM(Q489:Q1076)</f>
        <v>0</v>
      </c>
      <c r="R486" s="21">
        <v>58</v>
      </c>
    </row>
    <row r="487" spans="1:18" x14ac:dyDescent="0.3">
      <c r="A487" s="21"/>
      <c r="B487" s="24"/>
      <c r="C487" s="2" t="s">
        <v>11</v>
      </c>
      <c r="D487" s="2">
        <v>320</v>
      </c>
      <c r="E487" s="21"/>
      <c r="F487" s="2">
        <v>1632</v>
      </c>
      <c r="G487" s="21"/>
      <c r="H487" s="2">
        <v>0</v>
      </c>
      <c r="I487" s="21"/>
      <c r="J487" s="2">
        <v>720</v>
      </c>
      <c r="K487" s="21"/>
      <c r="L487" s="2">
        <v>176</v>
      </c>
      <c r="M487" s="21"/>
      <c r="N487" s="2">
        <v>0</v>
      </c>
      <c r="O487" s="21"/>
      <c r="P487" s="2">
        <v>0</v>
      </c>
      <c r="Q487" s="21"/>
      <c r="R487" s="21"/>
    </row>
    <row r="488" spans="1:18" x14ac:dyDescent="0.3">
      <c r="A488" s="21"/>
      <c r="B488" s="24"/>
      <c r="C488" s="2" t="s">
        <v>12</v>
      </c>
      <c r="D488" s="2">
        <v>200</v>
      </c>
      <c r="E488" s="21"/>
      <c r="F488" s="2">
        <v>1248</v>
      </c>
      <c r="G488" s="21"/>
      <c r="H488" s="2">
        <v>0</v>
      </c>
      <c r="I488" s="21"/>
      <c r="J488" s="2">
        <v>768</v>
      </c>
      <c r="K488" s="21"/>
      <c r="L488" s="2">
        <v>168</v>
      </c>
      <c r="M488" s="21"/>
      <c r="N488" s="2">
        <v>0</v>
      </c>
      <c r="O488" s="21"/>
      <c r="P488" s="2">
        <v>0</v>
      </c>
      <c r="Q488" s="21"/>
      <c r="R488" s="21"/>
    </row>
    <row r="489" spans="1:18" x14ac:dyDescent="0.3">
      <c r="A489" s="21"/>
      <c r="B489" s="24">
        <v>45186</v>
      </c>
      <c r="C489" s="2" t="s">
        <v>10</v>
      </c>
      <c r="D489" s="2">
        <v>340</v>
      </c>
      <c r="E489" s="22">
        <f>SUM(D489:D1079)-SUM(E492:E1079)</f>
        <v>860</v>
      </c>
      <c r="F489" s="2">
        <v>1104</v>
      </c>
      <c r="G489" s="22">
        <f>SUM(F489:F1079)-SUM(G492:G1079)</f>
        <v>3696</v>
      </c>
      <c r="H489" s="2">
        <v>0</v>
      </c>
      <c r="I489" s="22">
        <f>SUM(H489:H1079)-SUM(I492:I1079)</f>
        <v>0</v>
      </c>
      <c r="J489" s="2">
        <v>760</v>
      </c>
      <c r="K489" s="22">
        <f>SUM(J489:J1079)-SUM(K492:K1079)</f>
        <v>2440</v>
      </c>
      <c r="L489" s="2">
        <v>168</v>
      </c>
      <c r="M489" s="22">
        <f>SUM(L489:L1079)-SUM(M492:M1079)</f>
        <v>512</v>
      </c>
      <c r="N489" s="2">
        <v>0</v>
      </c>
      <c r="O489" s="22">
        <f>SUM(N489:N1079)-SUM(O492:O1079)</f>
        <v>0</v>
      </c>
      <c r="P489" s="2">
        <v>0</v>
      </c>
      <c r="Q489" s="22">
        <f>SUM(P489:P1079)-SUM(Q492:Q1079)</f>
        <v>0</v>
      </c>
      <c r="R489" s="21"/>
    </row>
    <row r="490" spans="1:18" x14ac:dyDescent="0.3">
      <c r="A490" s="21"/>
      <c r="B490" s="24"/>
      <c r="C490" s="2" t="s">
        <v>11</v>
      </c>
      <c r="D490" s="2">
        <v>320</v>
      </c>
      <c r="E490" s="21"/>
      <c r="F490" s="2">
        <v>1344</v>
      </c>
      <c r="G490" s="21"/>
      <c r="H490" s="2">
        <v>0</v>
      </c>
      <c r="I490" s="21"/>
      <c r="J490" s="2">
        <v>816</v>
      </c>
      <c r="K490" s="21"/>
      <c r="L490" s="2">
        <v>176</v>
      </c>
      <c r="M490" s="21"/>
      <c r="N490" s="2">
        <v>0</v>
      </c>
      <c r="O490" s="21"/>
      <c r="P490" s="2">
        <v>0</v>
      </c>
      <c r="Q490" s="21"/>
      <c r="R490" s="21"/>
    </row>
    <row r="491" spans="1:18" x14ac:dyDescent="0.3">
      <c r="A491" s="21"/>
      <c r="B491" s="24"/>
      <c r="C491" s="2" t="s">
        <v>12</v>
      </c>
      <c r="D491" s="2">
        <v>200</v>
      </c>
      <c r="E491" s="21"/>
      <c r="F491" s="2">
        <v>1248</v>
      </c>
      <c r="G491" s="21"/>
      <c r="H491" s="2">
        <v>0</v>
      </c>
      <c r="I491" s="21"/>
      <c r="J491" s="2">
        <v>864</v>
      </c>
      <c r="K491" s="21"/>
      <c r="L491" s="2">
        <v>168</v>
      </c>
      <c r="M491" s="21"/>
      <c r="N491" s="2">
        <v>0</v>
      </c>
      <c r="O491" s="21"/>
      <c r="P491" s="2">
        <v>0</v>
      </c>
      <c r="Q491" s="21"/>
      <c r="R491" s="21"/>
    </row>
    <row r="492" spans="1:18" x14ac:dyDescent="0.3">
      <c r="A492" s="21"/>
      <c r="B492" s="24">
        <v>45187</v>
      </c>
      <c r="C492" s="2" t="s">
        <v>10</v>
      </c>
      <c r="D492" s="2">
        <v>320</v>
      </c>
      <c r="E492" s="22">
        <f>SUM(D492:D1082)-SUM(E495:E1082)</f>
        <v>880</v>
      </c>
      <c r="F492" s="2">
        <v>1776</v>
      </c>
      <c r="G492" s="22">
        <f>SUM(F492:F1082)-SUM(G495:G1082)</f>
        <v>5472</v>
      </c>
      <c r="H492" s="2">
        <v>0</v>
      </c>
      <c r="I492" s="22">
        <f>SUM(H492:H1082)-SUM(I495:I1082)</f>
        <v>0</v>
      </c>
      <c r="J492" s="2">
        <v>1056</v>
      </c>
      <c r="K492" s="22">
        <f>SUM(J492:J1082)-SUM(K495:K1082)</f>
        <v>2688</v>
      </c>
      <c r="L492" s="2">
        <v>176</v>
      </c>
      <c r="M492" s="22">
        <f>SUM(L492:L1082)-SUM(M495:M1082)</f>
        <v>512</v>
      </c>
      <c r="N492" s="2">
        <v>0</v>
      </c>
      <c r="O492" s="22">
        <f>SUM(N492:N1082)-SUM(O495:O1082)</f>
        <v>0</v>
      </c>
      <c r="P492" s="2">
        <v>0</v>
      </c>
      <c r="Q492" s="22">
        <f>SUM(P492:P1082)-SUM(Q495:Q1082)</f>
        <v>0</v>
      </c>
      <c r="R492" s="21"/>
    </row>
    <row r="493" spans="1:18" x14ac:dyDescent="0.3">
      <c r="A493" s="21"/>
      <c r="B493" s="24"/>
      <c r="C493" s="2" t="s">
        <v>11</v>
      </c>
      <c r="D493" s="2">
        <v>200</v>
      </c>
      <c r="E493" s="21"/>
      <c r="F493" s="2">
        <v>1920</v>
      </c>
      <c r="G493" s="21"/>
      <c r="H493" s="2">
        <v>0</v>
      </c>
      <c r="I493" s="21"/>
      <c r="J493" s="2">
        <v>864</v>
      </c>
      <c r="K493" s="21"/>
      <c r="L493" s="2">
        <v>168</v>
      </c>
      <c r="M493" s="21"/>
      <c r="N493" s="2">
        <v>0</v>
      </c>
      <c r="O493" s="21"/>
      <c r="P493" s="2">
        <v>0</v>
      </c>
      <c r="Q493" s="21"/>
      <c r="R493" s="21"/>
    </row>
    <row r="494" spans="1:18" x14ac:dyDescent="0.3">
      <c r="A494" s="21"/>
      <c r="B494" s="24"/>
      <c r="C494" s="2" t="s">
        <v>12</v>
      </c>
      <c r="D494" s="2">
        <v>360</v>
      </c>
      <c r="E494" s="21"/>
      <c r="F494" s="2">
        <v>1776</v>
      </c>
      <c r="G494" s="21"/>
      <c r="H494" s="2">
        <v>0</v>
      </c>
      <c r="I494" s="21"/>
      <c r="J494" s="2">
        <v>768</v>
      </c>
      <c r="K494" s="21"/>
      <c r="L494" s="2">
        <v>168</v>
      </c>
      <c r="M494" s="21"/>
      <c r="N494" s="2">
        <v>0</v>
      </c>
      <c r="O494" s="21"/>
      <c r="P494" s="2">
        <v>0</v>
      </c>
      <c r="Q494" s="21"/>
      <c r="R494" s="21"/>
    </row>
    <row r="495" spans="1:18" x14ac:dyDescent="0.3">
      <c r="A495" s="21"/>
      <c r="B495" s="24">
        <v>45188</v>
      </c>
      <c r="C495" s="2" t="s">
        <v>10</v>
      </c>
      <c r="D495" s="2">
        <v>200</v>
      </c>
      <c r="E495" s="22">
        <f>SUM(D495:D1085)-SUM(E498:E1085)</f>
        <v>560</v>
      </c>
      <c r="F495" s="2">
        <v>4944</v>
      </c>
      <c r="G495" s="22">
        <f>SUM(F495:F1085)-SUM(G498:G1085)</f>
        <v>12592</v>
      </c>
      <c r="H495" s="2">
        <v>0</v>
      </c>
      <c r="I495" s="22">
        <f>SUM(H495:H1085)-SUM(I498:I1085)</f>
        <v>0</v>
      </c>
      <c r="J495" s="2">
        <v>0</v>
      </c>
      <c r="K495" s="22">
        <f>SUM(J495:J1085)-SUM(K498:K1085)</f>
        <v>0</v>
      </c>
      <c r="L495" s="2">
        <v>171</v>
      </c>
      <c r="M495" s="22">
        <f>SUM(L495:L1085)-SUM(M498:M1085)</f>
        <v>515</v>
      </c>
      <c r="N495" s="2">
        <v>0</v>
      </c>
      <c r="O495" s="22">
        <f>SUM(N495:N1085)-SUM(O498:O1085)</f>
        <v>0</v>
      </c>
      <c r="P495" s="2">
        <v>0</v>
      </c>
      <c r="Q495" s="22">
        <f>SUM(P495:P1085)-SUM(Q498:Q1085)</f>
        <v>0</v>
      </c>
      <c r="R495" s="21">
        <v>70</v>
      </c>
    </row>
    <row r="496" spans="1:18" x14ac:dyDescent="0.3">
      <c r="A496" s="21"/>
      <c r="B496" s="24"/>
      <c r="C496" s="2" t="s">
        <v>11</v>
      </c>
      <c r="D496" s="2">
        <v>0</v>
      </c>
      <c r="E496" s="21"/>
      <c r="F496" s="2">
        <v>3648</v>
      </c>
      <c r="G496" s="21"/>
      <c r="H496" s="2">
        <v>0</v>
      </c>
      <c r="I496" s="21"/>
      <c r="J496" s="2">
        <v>0</v>
      </c>
      <c r="K496" s="21"/>
      <c r="L496" s="2">
        <v>176</v>
      </c>
      <c r="M496" s="21"/>
      <c r="N496" s="2">
        <v>0</v>
      </c>
      <c r="O496" s="21"/>
      <c r="P496" s="2">
        <v>0</v>
      </c>
      <c r="Q496" s="21"/>
      <c r="R496" s="21"/>
    </row>
    <row r="497" spans="1:18" x14ac:dyDescent="0.3">
      <c r="A497" s="21"/>
      <c r="B497" s="24"/>
      <c r="C497" s="2" t="s">
        <v>12</v>
      </c>
      <c r="D497" s="2">
        <v>360</v>
      </c>
      <c r="E497" s="21"/>
      <c r="F497" s="2">
        <v>4000</v>
      </c>
      <c r="G497" s="21"/>
      <c r="H497" s="2">
        <v>0</v>
      </c>
      <c r="I497" s="21"/>
      <c r="J497" s="2">
        <v>0</v>
      </c>
      <c r="K497" s="21"/>
      <c r="L497" s="2">
        <v>168</v>
      </c>
      <c r="M497" s="21"/>
      <c r="N497" s="2">
        <v>0</v>
      </c>
      <c r="O497" s="21"/>
      <c r="P497" s="2">
        <v>0</v>
      </c>
      <c r="Q497" s="21"/>
      <c r="R497" s="21"/>
    </row>
    <row r="498" spans="1:18" x14ac:dyDescent="0.3">
      <c r="A498" s="21"/>
      <c r="B498" s="24">
        <v>45189</v>
      </c>
      <c r="C498" s="2" t="s">
        <v>10</v>
      </c>
      <c r="D498" s="2">
        <v>320</v>
      </c>
      <c r="E498" s="22">
        <f>SUM(D498:D1088)-SUM(E501:E1088)</f>
        <v>760</v>
      </c>
      <c r="F498" s="2">
        <v>4240</v>
      </c>
      <c r="G498" s="22">
        <f>SUM(F498:F1088)-SUM(G501:G1088)</f>
        <v>10576</v>
      </c>
      <c r="H498" s="2">
        <v>0</v>
      </c>
      <c r="I498" s="22">
        <f>SUM(H498:H1088)-SUM(I501:I1088)</f>
        <v>0</v>
      </c>
      <c r="J498" s="2">
        <v>0</v>
      </c>
      <c r="K498" s="22">
        <f>SUM(J498:J1088)-SUM(K501:K1088)</f>
        <v>0</v>
      </c>
      <c r="L498" s="2">
        <v>168</v>
      </c>
      <c r="M498" s="22">
        <f>SUM(L498:L1088)-SUM(M501:M1088)</f>
        <v>504</v>
      </c>
      <c r="N498" s="2">
        <v>0</v>
      </c>
      <c r="O498" s="22">
        <f>SUM(N498:N1088)-SUM(O501:O1088)</f>
        <v>0</v>
      </c>
      <c r="P498" s="2">
        <v>0</v>
      </c>
      <c r="Q498" s="22">
        <f>SUM(P498:P1088)-SUM(Q501:Q1088)</f>
        <v>0</v>
      </c>
      <c r="R498" s="21">
        <v>45</v>
      </c>
    </row>
    <row r="499" spans="1:18" x14ac:dyDescent="0.3">
      <c r="A499" s="21"/>
      <c r="B499" s="24"/>
      <c r="C499" s="2" t="s">
        <v>11</v>
      </c>
      <c r="D499" s="2">
        <v>220</v>
      </c>
      <c r="E499" s="21"/>
      <c r="F499" s="2">
        <v>3072</v>
      </c>
      <c r="G499" s="21"/>
      <c r="H499" s="2">
        <v>0</v>
      </c>
      <c r="I499" s="21"/>
      <c r="J499" s="2">
        <v>0</v>
      </c>
      <c r="K499" s="21"/>
      <c r="L499" s="2">
        <v>168</v>
      </c>
      <c r="M499" s="21"/>
      <c r="N499" s="2">
        <v>0</v>
      </c>
      <c r="O499" s="21"/>
      <c r="P499" s="2">
        <v>0</v>
      </c>
      <c r="Q499" s="21"/>
      <c r="R499" s="21"/>
    </row>
    <row r="500" spans="1:18" x14ac:dyDescent="0.3">
      <c r="A500" s="21"/>
      <c r="B500" s="24"/>
      <c r="C500" s="2" t="s">
        <v>12</v>
      </c>
      <c r="D500" s="2">
        <v>220</v>
      </c>
      <c r="E500" s="21"/>
      <c r="F500" s="2">
        <v>3264</v>
      </c>
      <c r="G500" s="21"/>
      <c r="H500" s="2">
        <v>0</v>
      </c>
      <c r="I500" s="21"/>
      <c r="J500" s="2">
        <v>0</v>
      </c>
      <c r="K500" s="21"/>
      <c r="L500" s="2">
        <v>168</v>
      </c>
      <c r="M500" s="21"/>
      <c r="N500" s="2">
        <v>0</v>
      </c>
      <c r="O500" s="21"/>
      <c r="P500" s="2">
        <v>0</v>
      </c>
      <c r="Q500" s="21"/>
      <c r="R500" s="21"/>
    </row>
    <row r="501" spans="1:18" x14ac:dyDescent="0.3">
      <c r="A501" s="21"/>
      <c r="B501" s="24">
        <v>45190</v>
      </c>
      <c r="C501" s="2" t="s">
        <v>10</v>
      </c>
      <c r="D501" s="2">
        <v>280</v>
      </c>
      <c r="E501" s="22">
        <f>SUM(D501:D1091)-SUM(E504:E1091)</f>
        <v>840</v>
      </c>
      <c r="F501" s="2">
        <v>4320</v>
      </c>
      <c r="G501" s="22">
        <f>SUM(F501:F1091)-SUM(G504:G1091)</f>
        <v>10656</v>
      </c>
      <c r="H501" s="2">
        <v>0</v>
      </c>
      <c r="I501" s="22">
        <f>SUM(H501:H1091)-SUM(I504:I1091)</f>
        <v>0</v>
      </c>
      <c r="J501" s="2">
        <v>0</v>
      </c>
      <c r="K501" s="22">
        <f>SUM(J501:J1091)-SUM(K504:K1091)</f>
        <v>0</v>
      </c>
      <c r="L501" s="2">
        <v>176</v>
      </c>
      <c r="M501" s="22">
        <f>SUM(L501:L1091)-SUM(M504:M1091)</f>
        <v>520</v>
      </c>
      <c r="N501" s="2">
        <v>0</v>
      </c>
      <c r="O501" s="22">
        <f>SUM(N501:N1091)-SUM(O504:O1091)</f>
        <v>0</v>
      </c>
      <c r="P501" s="2">
        <v>0</v>
      </c>
      <c r="Q501" s="22">
        <f>SUM(P501:P1091)-SUM(Q504:Q1091)</f>
        <v>0</v>
      </c>
      <c r="R501" s="21">
        <v>55</v>
      </c>
    </row>
    <row r="502" spans="1:18" x14ac:dyDescent="0.3">
      <c r="A502" s="21"/>
      <c r="B502" s="24"/>
      <c r="C502" s="2" t="s">
        <v>11</v>
      </c>
      <c r="D502" s="2">
        <v>200</v>
      </c>
      <c r="E502" s="21"/>
      <c r="F502" s="2">
        <v>3168</v>
      </c>
      <c r="G502" s="21"/>
      <c r="H502" s="2">
        <v>0</v>
      </c>
      <c r="I502" s="21"/>
      <c r="J502" s="2">
        <v>0</v>
      </c>
      <c r="K502" s="21"/>
      <c r="L502" s="2">
        <v>168</v>
      </c>
      <c r="M502" s="21"/>
      <c r="N502" s="2">
        <v>0</v>
      </c>
      <c r="O502" s="21"/>
      <c r="P502" s="2">
        <v>0</v>
      </c>
      <c r="Q502" s="21"/>
      <c r="R502" s="21"/>
    </row>
    <row r="503" spans="1:18" x14ac:dyDescent="0.3">
      <c r="A503" s="21"/>
      <c r="B503" s="24"/>
      <c r="C503" s="2" t="s">
        <v>12</v>
      </c>
      <c r="D503" s="2">
        <v>360</v>
      </c>
      <c r="E503" s="21"/>
      <c r="F503" s="2">
        <v>3168</v>
      </c>
      <c r="G503" s="21"/>
      <c r="H503" s="2">
        <v>0</v>
      </c>
      <c r="I503" s="21"/>
      <c r="J503" s="2">
        <v>0</v>
      </c>
      <c r="K503" s="21"/>
      <c r="L503" s="2">
        <v>176</v>
      </c>
      <c r="M503" s="21"/>
      <c r="N503" s="2">
        <v>0</v>
      </c>
      <c r="O503" s="21"/>
      <c r="P503" s="2">
        <v>0</v>
      </c>
      <c r="Q503" s="21"/>
      <c r="R503" s="21"/>
    </row>
    <row r="504" spans="1:18" x14ac:dyDescent="0.3">
      <c r="A504" s="21"/>
      <c r="B504" s="24">
        <v>45191</v>
      </c>
      <c r="C504" s="2" t="s">
        <v>10</v>
      </c>
      <c r="D504" s="2">
        <v>320</v>
      </c>
      <c r="E504" s="22">
        <f>SUM(D504:D1094)-SUM(E507:E1094)</f>
        <v>720</v>
      </c>
      <c r="F504" s="2">
        <v>3984</v>
      </c>
      <c r="G504" s="22">
        <f>SUM(F504:F1094)-SUM(G507:G1094)</f>
        <v>9792</v>
      </c>
      <c r="H504" s="2">
        <v>0</v>
      </c>
      <c r="I504" s="22">
        <f>SUM(H504:H1094)-SUM(I507:I1094)</f>
        <v>0</v>
      </c>
      <c r="J504" s="2">
        <v>0</v>
      </c>
      <c r="K504" s="22">
        <f>SUM(J504:J1094)-SUM(K507:K1094)</f>
        <v>0</v>
      </c>
      <c r="L504" s="2">
        <v>176</v>
      </c>
      <c r="M504" s="22">
        <f>SUM(L504:L1094)-SUM(M507:M1094)</f>
        <v>520</v>
      </c>
      <c r="N504" s="2">
        <v>0</v>
      </c>
      <c r="O504" s="22">
        <f>SUM(N504:N1094)-SUM(O507:O1094)</f>
        <v>0</v>
      </c>
      <c r="P504" s="2">
        <v>0</v>
      </c>
      <c r="Q504" s="22">
        <f>SUM(P504:P1094)-SUM(Q507:Q1094)</f>
        <v>0</v>
      </c>
      <c r="R504" s="21">
        <v>60</v>
      </c>
    </row>
    <row r="505" spans="1:18" x14ac:dyDescent="0.3">
      <c r="A505" s="21"/>
      <c r="B505" s="24"/>
      <c r="C505" s="2" t="s">
        <v>11</v>
      </c>
      <c r="D505" s="2">
        <v>200</v>
      </c>
      <c r="E505" s="21"/>
      <c r="F505" s="2">
        <v>2880</v>
      </c>
      <c r="G505" s="21"/>
      <c r="H505" s="2">
        <v>0</v>
      </c>
      <c r="I505" s="21"/>
      <c r="J505" s="2">
        <v>0</v>
      </c>
      <c r="K505" s="21"/>
      <c r="L505" s="2">
        <v>168</v>
      </c>
      <c r="M505" s="21"/>
      <c r="N505" s="2">
        <v>0</v>
      </c>
      <c r="O505" s="21"/>
      <c r="P505" s="2">
        <v>0</v>
      </c>
      <c r="Q505" s="21"/>
      <c r="R505" s="21"/>
    </row>
    <row r="506" spans="1:18" x14ac:dyDescent="0.3">
      <c r="A506" s="21"/>
      <c r="B506" s="24"/>
      <c r="C506" s="2" t="s">
        <v>12</v>
      </c>
      <c r="D506" s="2">
        <v>200</v>
      </c>
      <c r="E506" s="21"/>
      <c r="F506" s="2">
        <v>2928</v>
      </c>
      <c r="G506" s="21"/>
      <c r="H506" s="2">
        <v>0</v>
      </c>
      <c r="I506" s="21"/>
      <c r="J506" s="2">
        <v>0</v>
      </c>
      <c r="K506" s="21"/>
      <c r="L506" s="2">
        <v>176</v>
      </c>
      <c r="M506" s="21"/>
      <c r="N506" s="2">
        <v>0</v>
      </c>
      <c r="O506" s="21"/>
      <c r="P506" s="2">
        <v>0</v>
      </c>
      <c r="Q506" s="21"/>
      <c r="R506" s="21"/>
    </row>
    <row r="507" spans="1:18" x14ac:dyDescent="0.3">
      <c r="A507" s="21"/>
      <c r="B507" s="24">
        <v>45192</v>
      </c>
      <c r="C507" s="2" t="s">
        <v>10</v>
      </c>
      <c r="D507" s="2">
        <v>320</v>
      </c>
      <c r="E507" s="22">
        <f>SUM(D507:D1097)-SUM(E510:E1097)</f>
        <v>840</v>
      </c>
      <c r="F507" s="2">
        <v>3648</v>
      </c>
      <c r="G507" s="22">
        <f>SUM(F507:F1097)-SUM(G510:G1097)</f>
        <v>9360</v>
      </c>
      <c r="H507" s="2">
        <v>0</v>
      </c>
      <c r="I507" s="22">
        <f>SUM(H507:H1097)-SUM(I510:I1097)</f>
        <v>0</v>
      </c>
      <c r="J507" s="2">
        <v>0</v>
      </c>
      <c r="K507" s="22">
        <f>SUM(J507:J1097)-SUM(K510:K1097)</f>
        <v>0</v>
      </c>
      <c r="L507" s="2">
        <v>168</v>
      </c>
      <c r="M507" s="22">
        <f>SUM(L507:L1097)-SUM(M510:M1097)</f>
        <v>504</v>
      </c>
      <c r="N507" s="2">
        <v>0</v>
      </c>
      <c r="O507" s="22">
        <f>SUM(N507:N1097)-SUM(O510:O1097)</f>
        <v>0</v>
      </c>
      <c r="P507" s="2">
        <v>0</v>
      </c>
      <c r="Q507" s="22">
        <f>SUM(P507:P1097)-SUM(Q510:Q1097)</f>
        <v>0</v>
      </c>
      <c r="R507" s="21">
        <v>60</v>
      </c>
    </row>
    <row r="508" spans="1:18" x14ac:dyDescent="0.3">
      <c r="A508" s="21"/>
      <c r="B508" s="24"/>
      <c r="C508" s="2" t="s">
        <v>11</v>
      </c>
      <c r="D508" s="2">
        <v>260</v>
      </c>
      <c r="E508" s="21"/>
      <c r="F508" s="2">
        <v>2736</v>
      </c>
      <c r="G508" s="21"/>
      <c r="H508" s="2">
        <v>0</v>
      </c>
      <c r="I508" s="21"/>
      <c r="J508" s="2">
        <v>0</v>
      </c>
      <c r="K508" s="21"/>
      <c r="L508" s="2">
        <v>168</v>
      </c>
      <c r="M508" s="21"/>
      <c r="N508" s="2">
        <v>0</v>
      </c>
      <c r="O508" s="21"/>
      <c r="P508" s="2">
        <v>0</v>
      </c>
      <c r="Q508" s="21"/>
      <c r="R508" s="21"/>
    </row>
    <row r="509" spans="1:18" x14ac:dyDescent="0.3">
      <c r="A509" s="21"/>
      <c r="B509" s="24"/>
      <c r="C509" s="2" t="s">
        <v>12</v>
      </c>
      <c r="D509" s="2">
        <v>260</v>
      </c>
      <c r="E509" s="21"/>
      <c r="F509" s="2">
        <v>2976</v>
      </c>
      <c r="G509" s="21"/>
      <c r="H509" s="2">
        <v>0</v>
      </c>
      <c r="I509" s="21"/>
      <c r="J509" s="2">
        <v>0</v>
      </c>
      <c r="K509" s="21"/>
      <c r="L509" s="2">
        <v>168</v>
      </c>
      <c r="M509" s="21"/>
      <c r="N509" s="2">
        <v>0</v>
      </c>
      <c r="O509" s="21"/>
      <c r="P509" s="2">
        <v>0</v>
      </c>
      <c r="Q509" s="21"/>
      <c r="R509" s="21"/>
    </row>
    <row r="510" spans="1:18" x14ac:dyDescent="0.3">
      <c r="A510" s="21"/>
      <c r="B510" s="24">
        <v>45193</v>
      </c>
      <c r="C510" s="2" t="s">
        <v>10</v>
      </c>
      <c r="D510" s="2">
        <v>320</v>
      </c>
      <c r="E510" s="22">
        <f>SUM(D510:D1100)-SUM(E513:E1100)</f>
        <v>780</v>
      </c>
      <c r="F510" s="2">
        <v>1776</v>
      </c>
      <c r="G510" s="22">
        <f>SUM(F510:F1100)-SUM(G513:G1100)</f>
        <v>4656</v>
      </c>
      <c r="H510" s="2">
        <v>0</v>
      </c>
      <c r="I510" s="22">
        <f>SUM(H510:H1100)-SUM(I513:I1100)</f>
        <v>0</v>
      </c>
      <c r="J510" s="2">
        <v>1008</v>
      </c>
      <c r="K510" s="22">
        <f>SUM(J510:J1100)-SUM(K513:K1100)</f>
        <v>3024</v>
      </c>
      <c r="L510" s="2">
        <v>176</v>
      </c>
      <c r="M510" s="22">
        <f>SUM(L510:L1100)-SUM(M513:M1100)</f>
        <v>512</v>
      </c>
      <c r="N510" s="2">
        <v>0</v>
      </c>
      <c r="O510" s="22">
        <f>SUM(N510:N1100)-SUM(O513:O1100)</f>
        <v>0</v>
      </c>
      <c r="P510" s="2">
        <v>0</v>
      </c>
      <c r="Q510" s="22">
        <f>SUM(P510:P1100)-SUM(Q513:Q1100)</f>
        <v>0</v>
      </c>
      <c r="R510" s="21"/>
    </row>
    <row r="511" spans="1:18" x14ac:dyDescent="0.3">
      <c r="A511" s="21"/>
      <c r="B511" s="24"/>
      <c r="C511" s="2" t="s">
        <v>11</v>
      </c>
      <c r="D511" s="2">
        <v>200</v>
      </c>
      <c r="E511" s="21"/>
      <c r="F511" s="2">
        <v>1440</v>
      </c>
      <c r="G511" s="21"/>
      <c r="H511" s="2">
        <v>0</v>
      </c>
      <c r="I511" s="21"/>
      <c r="J511" s="2">
        <v>1008</v>
      </c>
      <c r="K511" s="21"/>
      <c r="L511" s="2">
        <v>168</v>
      </c>
      <c r="M511" s="21"/>
      <c r="N511" s="2">
        <v>0</v>
      </c>
      <c r="O511" s="21"/>
      <c r="P511" s="2">
        <v>0</v>
      </c>
      <c r="Q511" s="21"/>
      <c r="R511" s="21"/>
    </row>
    <row r="512" spans="1:18" x14ac:dyDescent="0.3">
      <c r="A512" s="21"/>
      <c r="B512" s="24"/>
      <c r="C512" s="2" t="s">
        <v>12</v>
      </c>
      <c r="D512" s="2">
        <v>260</v>
      </c>
      <c r="E512" s="21"/>
      <c r="F512" s="2">
        <v>1440</v>
      </c>
      <c r="G512" s="21"/>
      <c r="H512" s="2">
        <v>0</v>
      </c>
      <c r="I512" s="21"/>
      <c r="J512" s="2">
        <v>1008</v>
      </c>
      <c r="K512" s="21"/>
      <c r="L512" s="2">
        <v>168</v>
      </c>
      <c r="M512" s="21"/>
      <c r="N512" s="2">
        <v>0</v>
      </c>
      <c r="O512" s="21"/>
      <c r="P512" s="2">
        <v>0</v>
      </c>
      <c r="Q512" s="21"/>
      <c r="R512" s="21"/>
    </row>
    <row r="513" spans="1:18" x14ac:dyDescent="0.3">
      <c r="A513" s="21"/>
      <c r="B513" s="24">
        <v>45194</v>
      </c>
      <c r="C513" s="2" t="s">
        <v>10</v>
      </c>
      <c r="D513" s="2">
        <v>260</v>
      </c>
      <c r="E513" s="22">
        <f>SUM(D513:D1103)-SUM(E516:E1103)</f>
        <v>820</v>
      </c>
      <c r="F513" s="2">
        <v>1344</v>
      </c>
      <c r="G513" s="22">
        <f>SUM(F513:F1103)-SUM(G516:G1103)</f>
        <v>4224</v>
      </c>
      <c r="H513" s="2">
        <v>0</v>
      </c>
      <c r="I513" s="22">
        <f>SUM(H513:H1103)-SUM(I516:I1103)</f>
        <v>0</v>
      </c>
      <c r="J513" s="2">
        <v>1440</v>
      </c>
      <c r="K513" s="22">
        <f>SUM(J513:J1103)-SUM(K516:K1103)</f>
        <v>3600</v>
      </c>
      <c r="L513" s="2">
        <v>168</v>
      </c>
      <c r="M513" s="22">
        <f>SUM(L513:L1103)-SUM(M516:M1103)</f>
        <v>494</v>
      </c>
      <c r="N513" s="2">
        <v>0</v>
      </c>
      <c r="O513" s="22">
        <f>SUM(N513:N1103)-SUM(O516:O1103)</f>
        <v>0</v>
      </c>
      <c r="P513" s="2">
        <v>0</v>
      </c>
      <c r="Q513" s="22">
        <f>SUM(P513:P1103)-SUM(Q516:Q1103)</f>
        <v>0</v>
      </c>
      <c r="R513" s="21">
        <v>40</v>
      </c>
    </row>
    <row r="514" spans="1:18" x14ac:dyDescent="0.3">
      <c r="A514" s="21"/>
      <c r="B514" s="24"/>
      <c r="C514" s="2" t="s">
        <v>11</v>
      </c>
      <c r="D514" s="2">
        <v>260</v>
      </c>
      <c r="E514" s="21"/>
      <c r="F514" s="2">
        <v>1344</v>
      </c>
      <c r="G514" s="21"/>
      <c r="H514" s="2">
        <v>0</v>
      </c>
      <c r="I514" s="21"/>
      <c r="J514" s="2">
        <v>1104</v>
      </c>
      <c r="K514" s="21"/>
      <c r="L514" s="2">
        <v>154</v>
      </c>
      <c r="M514" s="21"/>
      <c r="N514" s="2">
        <v>0</v>
      </c>
      <c r="O514" s="21"/>
      <c r="P514" s="2">
        <v>0</v>
      </c>
      <c r="Q514" s="21"/>
      <c r="R514" s="21"/>
    </row>
    <row r="515" spans="1:18" x14ac:dyDescent="0.3">
      <c r="A515" s="21"/>
      <c r="B515" s="24"/>
      <c r="C515" s="2" t="s">
        <v>12</v>
      </c>
      <c r="D515" s="2">
        <v>300</v>
      </c>
      <c r="E515" s="21"/>
      <c r="F515" s="2">
        <v>1536</v>
      </c>
      <c r="G515" s="21"/>
      <c r="H515" s="2">
        <v>0</v>
      </c>
      <c r="I515" s="21"/>
      <c r="J515" s="2">
        <v>1056</v>
      </c>
      <c r="K515" s="21"/>
      <c r="L515" s="2">
        <v>172</v>
      </c>
      <c r="M515" s="21"/>
      <c r="N515" s="2">
        <v>0</v>
      </c>
      <c r="O515" s="21"/>
      <c r="P515" s="2">
        <v>0</v>
      </c>
      <c r="Q515" s="21"/>
      <c r="R515" s="21"/>
    </row>
    <row r="516" spans="1:18" x14ac:dyDescent="0.3">
      <c r="A516" s="21"/>
      <c r="B516" s="24">
        <v>45195</v>
      </c>
      <c r="C516" s="2" t="s">
        <v>10</v>
      </c>
      <c r="D516" s="2">
        <v>260</v>
      </c>
      <c r="E516" s="22">
        <f>SUM(D516:D1106)-SUM(E519:E1106)</f>
        <v>860</v>
      </c>
      <c r="F516" s="2">
        <v>1488</v>
      </c>
      <c r="G516" s="22">
        <f>SUM(F516:F1106)-SUM(G519:G1106)</f>
        <v>3696</v>
      </c>
      <c r="H516" s="2">
        <v>0</v>
      </c>
      <c r="I516" s="22">
        <f>SUM(H516:H1106)-SUM(I519:I1106)</f>
        <v>0</v>
      </c>
      <c r="J516" s="2">
        <v>960</v>
      </c>
      <c r="K516" s="22">
        <f>SUM(J516:J1106)-SUM(K519:K1106)</f>
        <v>2784</v>
      </c>
      <c r="L516" s="2">
        <v>168</v>
      </c>
      <c r="M516" s="22">
        <f>SUM(L516:L1106)-SUM(M519:M1106)</f>
        <v>492</v>
      </c>
      <c r="N516" s="2">
        <v>0</v>
      </c>
      <c r="O516" s="22">
        <f>SUM(N516:N1106)-SUM(O519:O1106)</f>
        <v>0</v>
      </c>
      <c r="P516" s="2">
        <v>0</v>
      </c>
      <c r="Q516" s="22">
        <f>SUM(P516:P1106)-SUM(Q519:Q1106)</f>
        <v>0</v>
      </c>
      <c r="R516" s="21">
        <v>30</v>
      </c>
    </row>
    <row r="517" spans="1:18" x14ac:dyDescent="0.3">
      <c r="A517" s="21"/>
      <c r="B517" s="24"/>
      <c r="C517" s="2" t="s">
        <v>11</v>
      </c>
      <c r="D517" s="2">
        <v>280</v>
      </c>
      <c r="E517" s="21"/>
      <c r="F517" s="2">
        <v>960</v>
      </c>
      <c r="G517" s="21"/>
      <c r="H517" s="2">
        <v>0</v>
      </c>
      <c r="I517" s="21"/>
      <c r="J517" s="2">
        <v>912</v>
      </c>
      <c r="K517" s="21"/>
      <c r="L517" s="2">
        <v>152</v>
      </c>
      <c r="M517" s="21"/>
      <c r="N517" s="2">
        <v>0</v>
      </c>
      <c r="O517" s="21"/>
      <c r="P517" s="2">
        <v>0</v>
      </c>
      <c r="Q517" s="21"/>
      <c r="R517" s="21"/>
    </row>
    <row r="518" spans="1:18" x14ac:dyDescent="0.3">
      <c r="A518" s="21"/>
      <c r="B518" s="24"/>
      <c r="C518" s="2" t="s">
        <v>12</v>
      </c>
      <c r="D518" s="2">
        <v>320</v>
      </c>
      <c r="E518" s="21"/>
      <c r="F518" s="2">
        <v>1248</v>
      </c>
      <c r="G518" s="21"/>
      <c r="H518" s="2">
        <v>0</v>
      </c>
      <c r="I518" s="21"/>
      <c r="J518" s="2">
        <v>912</v>
      </c>
      <c r="K518" s="21"/>
      <c r="L518" s="2">
        <v>172</v>
      </c>
      <c r="M518" s="21"/>
      <c r="N518" s="2">
        <v>0</v>
      </c>
      <c r="O518" s="21"/>
      <c r="P518" s="2">
        <v>0</v>
      </c>
      <c r="Q518" s="21"/>
      <c r="R518" s="21"/>
    </row>
    <row r="519" spans="1:18" x14ac:dyDescent="0.3">
      <c r="A519" s="21"/>
      <c r="B519" s="24">
        <v>45196</v>
      </c>
      <c r="C519" s="2" t="s">
        <v>10</v>
      </c>
      <c r="D519" s="2">
        <v>200</v>
      </c>
      <c r="E519" s="22">
        <f>SUM(D519:D1109)-SUM(E522:E1109)</f>
        <v>740</v>
      </c>
      <c r="F519" s="2">
        <v>3312</v>
      </c>
      <c r="G519" s="22">
        <f>SUM(F519:F1109)-SUM(G522:G1109)</f>
        <v>9312</v>
      </c>
      <c r="H519" s="2">
        <v>0</v>
      </c>
      <c r="I519" s="22">
        <f>SUM(H519:H1109)-SUM(I522:I1109)</f>
        <v>0</v>
      </c>
      <c r="J519" s="2">
        <v>0</v>
      </c>
      <c r="K519" s="22">
        <f>SUM(J519:J1109)-SUM(K522:K1109)</f>
        <v>0</v>
      </c>
      <c r="L519" s="2">
        <v>168</v>
      </c>
      <c r="M519" s="22">
        <f>SUM(L519:L1109)-SUM(M522:M1109)</f>
        <v>504</v>
      </c>
      <c r="N519" s="2">
        <v>0</v>
      </c>
      <c r="O519" s="22">
        <f>SUM(N519:N1109)-SUM(O522:O1109)</f>
        <v>0</v>
      </c>
      <c r="P519" s="2">
        <v>0</v>
      </c>
      <c r="Q519" s="22">
        <f>SUM(P519:P1109)-SUM(Q522:Q1109)</f>
        <v>0</v>
      </c>
      <c r="R519" s="21">
        <v>35</v>
      </c>
    </row>
    <row r="520" spans="1:18" x14ac:dyDescent="0.3">
      <c r="A520" s="21"/>
      <c r="B520" s="24"/>
      <c r="C520" s="2" t="s">
        <v>11</v>
      </c>
      <c r="D520" s="2">
        <v>280</v>
      </c>
      <c r="E520" s="21"/>
      <c r="F520" s="2">
        <v>2832</v>
      </c>
      <c r="G520" s="21"/>
      <c r="H520" s="2">
        <v>0</v>
      </c>
      <c r="I520" s="21"/>
      <c r="J520" s="2">
        <v>0</v>
      </c>
      <c r="K520" s="21"/>
      <c r="L520" s="2">
        <v>168</v>
      </c>
      <c r="M520" s="21"/>
      <c r="N520" s="2">
        <v>0</v>
      </c>
      <c r="O520" s="21"/>
      <c r="P520" s="2">
        <v>0</v>
      </c>
      <c r="Q520" s="21"/>
      <c r="R520" s="21"/>
    </row>
    <row r="521" spans="1:18" x14ac:dyDescent="0.3">
      <c r="A521" s="21"/>
      <c r="B521" s="24"/>
      <c r="C521" s="2" t="s">
        <v>12</v>
      </c>
      <c r="D521" s="2">
        <v>260</v>
      </c>
      <c r="E521" s="21"/>
      <c r="F521" s="2">
        <v>3168</v>
      </c>
      <c r="G521" s="21"/>
      <c r="H521" s="2">
        <v>0</v>
      </c>
      <c r="I521" s="21"/>
      <c r="J521" s="2">
        <v>0</v>
      </c>
      <c r="K521" s="21"/>
      <c r="L521" s="2">
        <v>168</v>
      </c>
      <c r="M521" s="21"/>
      <c r="N521" s="2">
        <v>0</v>
      </c>
      <c r="O521" s="21"/>
      <c r="P521" s="2">
        <v>0</v>
      </c>
      <c r="Q521" s="21"/>
      <c r="R521" s="21"/>
    </row>
    <row r="522" spans="1:18" x14ac:dyDescent="0.3">
      <c r="A522" s="21"/>
      <c r="B522" s="24">
        <v>45197</v>
      </c>
      <c r="C522" s="2" t="s">
        <v>10</v>
      </c>
      <c r="D522" s="2">
        <v>200</v>
      </c>
      <c r="E522" s="22">
        <f>SUM(D522:D1112)-SUM(E525:E1112)</f>
        <v>780</v>
      </c>
      <c r="F522" s="2">
        <v>2976</v>
      </c>
      <c r="G522" s="22">
        <f>SUM(F522:F1112)-SUM(G525:G1112)</f>
        <v>5994</v>
      </c>
      <c r="H522" s="2">
        <v>0</v>
      </c>
      <c r="I522" s="22">
        <f>SUM(H522:H1112)-SUM(I525:I1112)</f>
        <v>0</v>
      </c>
      <c r="J522" s="2">
        <v>0</v>
      </c>
      <c r="K522" s="22">
        <f>SUM(J522:J1112)-SUM(K525:K1112)</f>
        <v>570</v>
      </c>
      <c r="L522" s="2">
        <v>168</v>
      </c>
      <c r="M522" s="22">
        <f>SUM(L522:L1112)-SUM(M525:M1112)</f>
        <v>508</v>
      </c>
      <c r="N522" s="2">
        <v>0</v>
      </c>
      <c r="O522" s="22">
        <f>SUM(N522:N1112)-SUM(O525:O1112)</f>
        <v>0</v>
      </c>
      <c r="P522" s="2">
        <v>0</v>
      </c>
      <c r="Q522" s="22">
        <f>SUM(P522:P1112)-SUM(Q525:Q1112)</f>
        <v>0</v>
      </c>
      <c r="R522" s="21">
        <v>42</v>
      </c>
    </row>
    <row r="523" spans="1:18" x14ac:dyDescent="0.3">
      <c r="A523" s="21"/>
      <c r="B523" s="24"/>
      <c r="C523" s="2" t="s">
        <v>11</v>
      </c>
      <c r="D523" s="2">
        <v>280</v>
      </c>
      <c r="E523" s="21"/>
      <c r="F523" s="2">
        <v>2400</v>
      </c>
      <c r="G523" s="21"/>
      <c r="H523" s="2">
        <v>0</v>
      </c>
      <c r="I523" s="21"/>
      <c r="J523" s="2">
        <v>0</v>
      </c>
      <c r="K523" s="21"/>
      <c r="L523" s="2">
        <v>168</v>
      </c>
      <c r="M523" s="21"/>
      <c r="N523" s="2">
        <v>0</v>
      </c>
      <c r="O523" s="21"/>
      <c r="P523" s="2">
        <v>0</v>
      </c>
      <c r="Q523" s="21"/>
      <c r="R523" s="21"/>
    </row>
    <row r="524" spans="1:18" x14ac:dyDescent="0.3">
      <c r="A524" s="21"/>
      <c r="B524" s="24"/>
      <c r="C524" s="2" t="s">
        <v>12</v>
      </c>
      <c r="D524" s="2">
        <v>300</v>
      </c>
      <c r="E524" s="21"/>
      <c r="F524" s="2">
        <v>618</v>
      </c>
      <c r="G524" s="21"/>
      <c r="H524" s="2">
        <v>0</v>
      </c>
      <c r="I524" s="21"/>
      <c r="J524" s="2">
        <v>570</v>
      </c>
      <c r="K524" s="21"/>
      <c r="L524" s="2">
        <v>172</v>
      </c>
      <c r="M524" s="21"/>
      <c r="N524" s="2">
        <v>0</v>
      </c>
      <c r="O524" s="21"/>
      <c r="P524" s="2">
        <v>0</v>
      </c>
      <c r="Q524" s="21"/>
      <c r="R524" s="21"/>
    </row>
    <row r="525" spans="1:18" x14ac:dyDescent="0.3">
      <c r="A525" s="21"/>
      <c r="B525" s="24">
        <v>45198</v>
      </c>
      <c r="C525" s="2" t="s">
        <v>10</v>
      </c>
      <c r="D525" s="2">
        <v>200</v>
      </c>
      <c r="E525" s="22">
        <f>SUM(D525:D1115)-SUM(E528:E1115)</f>
        <v>760</v>
      </c>
      <c r="F525" s="2">
        <v>1344</v>
      </c>
      <c r="G525" s="22">
        <f>SUM(F525:F1115)-SUM(G528:G1115)</f>
        <v>2574</v>
      </c>
      <c r="H525" s="2">
        <v>0</v>
      </c>
      <c r="I525" s="22">
        <f>SUM(H525:H1115)-SUM(I528:I1115)</f>
        <v>0</v>
      </c>
      <c r="J525" s="2">
        <v>720</v>
      </c>
      <c r="K525" s="22">
        <f>SUM(J525:J1115)-SUM(K528:K1115)</f>
        <v>2016</v>
      </c>
      <c r="L525" s="2">
        <v>168</v>
      </c>
      <c r="M525" s="22">
        <f>SUM(L525:L1115)-SUM(M528:M1115)</f>
        <v>508</v>
      </c>
      <c r="N525" s="2">
        <v>0</v>
      </c>
      <c r="O525" s="22">
        <f>SUM(N525:N1115)-SUM(O528:O1115)</f>
        <v>0</v>
      </c>
      <c r="P525" s="2">
        <v>0</v>
      </c>
      <c r="Q525" s="22">
        <f>SUM(P525:P1115)-SUM(Q528:Q1115)</f>
        <v>0</v>
      </c>
      <c r="R525" s="21">
        <v>23</v>
      </c>
    </row>
    <row r="526" spans="1:18" x14ac:dyDescent="0.3">
      <c r="A526" s="21"/>
      <c r="B526" s="24"/>
      <c r="C526" s="2" t="s">
        <v>11</v>
      </c>
      <c r="D526" s="2">
        <v>260</v>
      </c>
      <c r="E526" s="21"/>
      <c r="F526" s="2">
        <v>720</v>
      </c>
      <c r="G526" s="21"/>
      <c r="H526" s="2">
        <v>0</v>
      </c>
      <c r="I526" s="21"/>
      <c r="J526" s="2">
        <v>624</v>
      </c>
      <c r="K526" s="21"/>
      <c r="L526" s="2">
        <v>168</v>
      </c>
      <c r="M526" s="21"/>
      <c r="N526" s="2">
        <v>0</v>
      </c>
      <c r="O526" s="21"/>
      <c r="P526" s="2">
        <v>0</v>
      </c>
      <c r="Q526" s="21"/>
      <c r="R526" s="21"/>
    </row>
    <row r="527" spans="1:18" x14ac:dyDescent="0.3">
      <c r="A527" s="21"/>
      <c r="B527" s="24"/>
      <c r="C527" s="2" t="s">
        <v>12</v>
      </c>
      <c r="D527" s="2">
        <v>300</v>
      </c>
      <c r="E527" s="21"/>
      <c r="F527" s="2">
        <v>510</v>
      </c>
      <c r="G527" s="21"/>
      <c r="H527" s="2">
        <v>0</v>
      </c>
      <c r="I527" s="21"/>
      <c r="J527" s="2">
        <v>672</v>
      </c>
      <c r="K527" s="21"/>
      <c r="L527" s="2">
        <v>172</v>
      </c>
      <c r="M527" s="21"/>
      <c r="N527" s="2">
        <v>0</v>
      </c>
      <c r="O527" s="21"/>
      <c r="P527" s="2">
        <v>0</v>
      </c>
      <c r="Q527" s="21"/>
      <c r="R527" s="21"/>
    </row>
    <row r="528" spans="1:18" x14ac:dyDescent="0.3">
      <c r="A528" s="21"/>
      <c r="B528" s="24">
        <v>45199</v>
      </c>
      <c r="C528" s="2" t="s">
        <v>10</v>
      </c>
      <c r="D528" s="2">
        <v>260</v>
      </c>
      <c r="E528" s="22">
        <f>SUM(D528:D1118)-SUM(E531:E1118)</f>
        <v>840</v>
      </c>
      <c r="F528" s="2">
        <v>1200</v>
      </c>
      <c r="G528" s="22">
        <f>SUM(F528:F1118)-SUM(G531:G1118)</f>
        <v>2670</v>
      </c>
      <c r="H528" s="2">
        <v>0</v>
      </c>
      <c r="I528" s="22">
        <f>SUM(H528:H1118)-SUM(I531:I1118)</f>
        <v>0</v>
      </c>
      <c r="J528" s="2">
        <v>672</v>
      </c>
      <c r="K528" s="22">
        <f>SUM(J528:J1118)-SUM(K531:K1118)</f>
        <v>2016</v>
      </c>
      <c r="L528" s="2">
        <v>168</v>
      </c>
      <c r="M528" s="22">
        <f>SUM(L528:L1118)-SUM(M531:M1118)</f>
        <v>500</v>
      </c>
      <c r="N528" s="2">
        <v>0</v>
      </c>
      <c r="O528" s="22">
        <f>SUM(N528:N1118)-SUM(O531:O1118)</f>
        <v>0</v>
      </c>
      <c r="P528" s="2">
        <v>0</v>
      </c>
      <c r="Q528" s="22">
        <f>SUM(P528:P1118)-SUM(Q531:Q1118)</f>
        <v>0</v>
      </c>
      <c r="R528" s="21">
        <v>23</v>
      </c>
    </row>
    <row r="529" spans="1:18" x14ac:dyDescent="0.3">
      <c r="A529" s="21"/>
      <c r="B529" s="24"/>
      <c r="C529" s="2" t="s">
        <v>11</v>
      </c>
      <c r="D529" s="2">
        <v>280</v>
      </c>
      <c r="E529" s="21"/>
      <c r="F529" s="2">
        <v>960</v>
      </c>
      <c r="G529" s="21"/>
      <c r="H529" s="2">
        <v>0</v>
      </c>
      <c r="I529" s="21"/>
      <c r="J529" s="2">
        <v>672</v>
      </c>
      <c r="K529" s="21"/>
      <c r="L529" s="2">
        <v>168</v>
      </c>
      <c r="M529" s="21"/>
      <c r="N529" s="2">
        <v>0</v>
      </c>
      <c r="O529" s="21"/>
      <c r="P529" s="2">
        <v>0</v>
      </c>
      <c r="Q529" s="21"/>
      <c r="R529" s="21"/>
    </row>
    <row r="530" spans="1:18" x14ac:dyDescent="0.3">
      <c r="A530" s="21"/>
      <c r="B530" s="24"/>
      <c r="C530" s="2" t="s">
        <v>12</v>
      </c>
      <c r="D530" s="2">
        <v>300</v>
      </c>
      <c r="E530" s="21"/>
      <c r="F530" s="2">
        <v>510</v>
      </c>
      <c r="G530" s="21"/>
      <c r="H530" s="2">
        <v>0</v>
      </c>
      <c r="I530" s="21"/>
      <c r="J530" s="2">
        <v>672</v>
      </c>
      <c r="K530" s="21"/>
      <c r="L530" s="2">
        <v>164</v>
      </c>
      <c r="M530" s="21"/>
      <c r="N530" s="2">
        <v>0</v>
      </c>
      <c r="O530" s="21"/>
      <c r="P530" s="2">
        <v>0</v>
      </c>
      <c r="Q530" s="21"/>
      <c r="R530" s="21"/>
    </row>
    <row r="531" spans="1:18" x14ac:dyDescent="0.3">
      <c r="A531" s="21" t="s">
        <v>24</v>
      </c>
      <c r="B531" s="24">
        <v>45200</v>
      </c>
      <c r="C531" s="2" t="s">
        <v>10</v>
      </c>
      <c r="D531" s="2">
        <v>200</v>
      </c>
      <c r="E531" s="22">
        <f>SUM(D531:D1121)-SUM(E534:E1121)</f>
        <v>760</v>
      </c>
      <c r="F531" s="2">
        <v>960</v>
      </c>
      <c r="G531" s="22">
        <f>SUM(F531:F1121)-SUM(G534:G1121)</f>
        <v>2460</v>
      </c>
      <c r="H531" s="2">
        <v>0</v>
      </c>
      <c r="I531" s="22">
        <f>SUM(H531:H1121)-SUM(I534:I1121)</f>
        <v>0</v>
      </c>
      <c r="J531" s="2">
        <v>672</v>
      </c>
      <c r="K531" s="22">
        <f>SUM(J531:J1121)-SUM(K534:K1121)</f>
        <v>2016</v>
      </c>
      <c r="L531" s="2">
        <v>176</v>
      </c>
      <c r="M531" s="22">
        <f>SUM(L531:L1121)-SUM(M534:M1121)</f>
        <v>508</v>
      </c>
      <c r="N531" s="2">
        <v>0</v>
      </c>
      <c r="O531" s="22">
        <f>SUM(N531:N1121)-SUM(O534:O1121)</f>
        <v>0</v>
      </c>
      <c r="P531" s="2">
        <v>0</v>
      </c>
      <c r="Q531" s="22">
        <f>SUM(P531:P1121)-SUM(Q534:Q1121)</f>
        <v>0</v>
      </c>
      <c r="R531" s="25"/>
    </row>
    <row r="532" spans="1:18" x14ac:dyDescent="0.3">
      <c r="A532" s="21"/>
      <c r="B532" s="24"/>
      <c r="C532" s="2" t="s">
        <v>11</v>
      </c>
      <c r="D532" s="2">
        <v>260</v>
      </c>
      <c r="E532" s="21"/>
      <c r="F532" s="2">
        <v>960</v>
      </c>
      <c r="G532" s="21"/>
      <c r="H532" s="2">
        <v>0</v>
      </c>
      <c r="I532" s="21"/>
      <c r="J532" s="2">
        <v>672</v>
      </c>
      <c r="K532" s="21"/>
      <c r="L532" s="2">
        <v>168</v>
      </c>
      <c r="M532" s="21"/>
      <c r="N532" s="2">
        <v>0</v>
      </c>
      <c r="O532" s="21"/>
      <c r="P532" s="2">
        <v>0</v>
      </c>
      <c r="Q532" s="21"/>
      <c r="R532" s="25"/>
    </row>
    <row r="533" spans="1:18" x14ac:dyDescent="0.3">
      <c r="A533" s="21"/>
      <c r="B533" s="24"/>
      <c r="C533" s="2" t="s">
        <v>12</v>
      </c>
      <c r="D533" s="2">
        <v>300</v>
      </c>
      <c r="E533" s="21"/>
      <c r="F533" s="2">
        <v>540</v>
      </c>
      <c r="G533" s="21"/>
      <c r="H533" s="2">
        <v>0</v>
      </c>
      <c r="I533" s="21"/>
      <c r="J533" s="2">
        <v>672</v>
      </c>
      <c r="K533" s="21"/>
      <c r="L533" s="2">
        <v>164</v>
      </c>
      <c r="M533" s="21"/>
      <c r="N533" s="2">
        <v>0</v>
      </c>
      <c r="O533" s="21"/>
      <c r="P533" s="2">
        <v>0</v>
      </c>
      <c r="Q533" s="21"/>
      <c r="R533" s="25"/>
    </row>
    <row r="534" spans="1:18" x14ac:dyDescent="0.3">
      <c r="A534" s="21"/>
      <c r="B534" s="24">
        <v>45201</v>
      </c>
      <c r="C534" s="2" t="s">
        <v>10</v>
      </c>
      <c r="D534" s="2">
        <v>280</v>
      </c>
      <c r="E534" s="22">
        <f>SUM(D534:D1124)-SUM(E537:E1124)</f>
        <v>680</v>
      </c>
      <c r="F534" s="2">
        <v>960</v>
      </c>
      <c r="G534" s="22">
        <f>SUM(F534:F1124)-SUM(G537:G1124)</f>
        <v>2568</v>
      </c>
      <c r="H534" s="2">
        <v>0</v>
      </c>
      <c r="I534" s="22">
        <f>SUM(H534:H1124)-SUM(I537:I1124)</f>
        <v>0</v>
      </c>
      <c r="J534" s="2">
        <v>864</v>
      </c>
      <c r="K534" s="22">
        <f>SUM(J534:J1124)-SUM(K537:K1124)</f>
        <v>2688</v>
      </c>
      <c r="L534" s="2">
        <v>168</v>
      </c>
      <c r="M534" s="22">
        <f>SUM(L534:L1124)-SUM(M537:M1124)</f>
        <v>502</v>
      </c>
      <c r="N534" s="2">
        <v>0</v>
      </c>
      <c r="O534" s="22">
        <f>SUM(N534:N1124)-SUM(O537:O1124)</f>
        <v>0</v>
      </c>
      <c r="P534" s="2">
        <v>0</v>
      </c>
      <c r="Q534" s="22">
        <f>SUM(P534:P1124)-SUM(Q537:Q1124)</f>
        <v>0</v>
      </c>
      <c r="R534" s="21"/>
    </row>
    <row r="535" spans="1:18" x14ac:dyDescent="0.3">
      <c r="A535" s="21"/>
      <c r="B535" s="24"/>
      <c r="C535" s="2" t="s">
        <v>11</v>
      </c>
      <c r="D535" s="2">
        <v>200</v>
      </c>
      <c r="E535" s="21"/>
      <c r="F535" s="2">
        <v>168</v>
      </c>
      <c r="G535" s="21"/>
      <c r="H535" s="2">
        <v>0</v>
      </c>
      <c r="I535" s="21"/>
      <c r="J535" s="2">
        <v>960</v>
      </c>
      <c r="K535" s="21"/>
      <c r="L535" s="2">
        <v>168</v>
      </c>
      <c r="M535" s="21"/>
      <c r="N535" s="2">
        <v>0</v>
      </c>
      <c r="O535" s="21"/>
      <c r="P535" s="2">
        <v>0</v>
      </c>
      <c r="Q535" s="21"/>
      <c r="R535" s="21"/>
    </row>
    <row r="536" spans="1:18" x14ac:dyDescent="0.3">
      <c r="A536" s="21"/>
      <c r="B536" s="24"/>
      <c r="C536" s="2" t="s">
        <v>12</v>
      </c>
      <c r="D536" s="2">
        <v>200</v>
      </c>
      <c r="E536" s="21"/>
      <c r="F536" s="2">
        <v>1440</v>
      </c>
      <c r="G536" s="21"/>
      <c r="H536" s="2">
        <v>0</v>
      </c>
      <c r="I536" s="21"/>
      <c r="J536" s="2">
        <v>864</v>
      </c>
      <c r="K536" s="21"/>
      <c r="L536" s="2">
        <v>166</v>
      </c>
      <c r="M536" s="21"/>
      <c r="N536" s="2">
        <v>0</v>
      </c>
      <c r="O536" s="21"/>
      <c r="P536" s="2">
        <v>0</v>
      </c>
      <c r="Q536" s="21"/>
      <c r="R536" s="21"/>
    </row>
    <row r="537" spans="1:18" x14ac:dyDescent="0.3">
      <c r="A537" s="21"/>
      <c r="B537" s="23">
        <v>45202</v>
      </c>
      <c r="C537" s="2" t="s">
        <v>10</v>
      </c>
      <c r="D537" s="2">
        <v>160</v>
      </c>
      <c r="E537" s="26">
        <f>SUM(D537:D1127)-SUM(E540:E1127)</f>
        <v>580</v>
      </c>
      <c r="F537" s="2">
        <v>2072</v>
      </c>
      <c r="G537" s="26">
        <f>SUM(F537:F1127)-SUM(G540:G1127)</f>
        <v>7304</v>
      </c>
      <c r="H537" s="2">
        <v>0</v>
      </c>
      <c r="I537" s="26">
        <f>SUM(H537:H1127)-SUM(I540:I1127)</f>
        <v>0</v>
      </c>
      <c r="J537" s="2">
        <v>480</v>
      </c>
      <c r="K537" s="26">
        <f>SUM(J537:J1127)-SUM(K540:K1127)</f>
        <v>3000</v>
      </c>
      <c r="L537" s="2">
        <v>168</v>
      </c>
      <c r="M537" s="26">
        <f>SUM(L537:L1127)-SUM(M540:M1127)</f>
        <v>509</v>
      </c>
      <c r="N537" s="2">
        <v>0</v>
      </c>
      <c r="O537" s="26">
        <f>SUM(N537:N1127)-SUM(O540:O1127)</f>
        <v>0</v>
      </c>
      <c r="P537" s="2">
        <v>0</v>
      </c>
      <c r="Q537" s="26">
        <f>SUM(P537:P1127)-SUM(Q540:Q1127)</f>
        <v>0</v>
      </c>
      <c r="R537" s="21">
        <v>4</v>
      </c>
    </row>
    <row r="538" spans="1:18" x14ac:dyDescent="0.3">
      <c r="A538" s="21"/>
      <c r="B538" s="23"/>
      <c r="C538" s="2" t="s">
        <v>11</v>
      </c>
      <c r="D538" s="2">
        <v>160</v>
      </c>
      <c r="E538" s="27"/>
      <c r="F538" s="2">
        <v>2496</v>
      </c>
      <c r="G538" s="27"/>
      <c r="H538" s="2">
        <v>0</v>
      </c>
      <c r="I538" s="27"/>
      <c r="J538" s="2">
        <v>1800</v>
      </c>
      <c r="K538" s="27"/>
      <c r="L538" s="2">
        <v>173</v>
      </c>
      <c r="M538" s="27"/>
      <c r="N538" s="2">
        <v>0</v>
      </c>
      <c r="O538" s="27"/>
      <c r="P538" s="2">
        <v>0</v>
      </c>
      <c r="Q538" s="27"/>
      <c r="R538" s="21"/>
    </row>
    <row r="539" spans="1:18" x14ac:dyDescent="0.3">
      <c r="A539" s="21"/>
      <c r="B539" s="23"/>
      <c r="C539" s="2" t="s">
        <v>12</v>
      </c>
      <c r="D539" s="2">
        <v>260</v>
      </c>
      <c r="E539" s="27"/>
      <c r="F539" s="2">
        <v>2736</v>
      </c>
      <c r="G539" s="27"/>
      <c r="H539" s="2">
        <v>0</v>
      </c>
      <c r="I539" s="27"/>
      <c r="J539" s="2">
        <v>720</v>
      </c>
      <c r="K539" s="27"/>
      <c r="L539" s="2">
        <v>168</v>
      </c>
      <c r="M539" s="27"/>
      <c r="N539" s="2">
        <v>0</v>
      </c>
      <c r="O539" s="27"/>
      <c r="P539" s="2">
        <v>0</v>
      </c>
      <c r="Q539" s="27"/>
      <c r="R539" s="21"/>
    </row>
    <row r="540" spans="1:18" x14ac:dyDescent="0.3">
      <c r="A540" s="21"/>
      <c r="B540" s="24">
        <v>45203</v>
      </c>
      <c r="C540" s="2" t="s">
        <v>10</v>
      </c>
      <c r="D540" s="2">
        <v>420</v>
      </c>
      <c r="E540" s="22">
        <f>SUM(D540:D1130)-SUM(E543:E1130)</f>
        <v>960</v>
      </c>
      <c r="F540" s="2">
        <v>2736</v>
      </c>
      <c r="G540" s="22">
        <f>SUM(F540:F1130)-SUM(G543:G1130)</f>
        <v>4752</v>
      </c>
      <c r="H540" s="2">
        <v>0</v>
      </c>
      <c r="I540" s="22">
        <f>SUM(H540:H1130)-SUM(I543:I1130)</f>
        <v>0</v>
      </c>
      <c r="J540" s="2">
        <v>1920</v>
      </c>
      <c r="K540" s="22">
        <f>SUM(J540:J1130)-SUM(K543:K1130)</f>
        <v>3360</v>
      </c>
      <c r="L540" s="2">
        <v>168</v>
      </c>
      <c r="M540" s="22">
        <f>SUM(L540:L1130)-SUM(M543:M1130)</f>
        <v>502</v>
      </c>
      <c r="N540" s="2">
        <v>0</v>
      </c>
      <c r="O540" s="22">
        <f>SUM(N540:N1130)-SUM(O543:O1130)</f>
        <v>0</v>
      </c>
      <c r="P540" s="2">
        <v>0</v>
      </c>
      <c r="Q540" s="22">
        <f>SUM(P540:P1130)-SUM(Q543:Q1130)</f>
        <v>0</v>
      </c>
      <c r="R540" s="21">
        <v>185</v>
      </c>
    </row>
    <row r="541" spans="1:18" x14ac:dyDescent="0.3">
      <c r="A541" s="21"/>
      <c r="B541" s="24"/>
      <c r="C541" s="2" t="s">
        <v>11</v>
      </c>
      <c r="D541" s="2">
        <v>260</v>
      </c>
      <c r="E541" s="21"/>
      <c r="F541" s="2">
        <v>2016</v>
      </c>
      <c r="G541" s="21"/>
      <c r="H541" s="2">
        <v>0</v>
      </c>
      <c r="I541" s="21"/>
      <c r="J541" s="2">
        <v>1440</v>
      </c>
      <c r="K541" s="21"/>
      <c r="L541" s="2">
        <v>168</v>
      </c>
      <c r="M541" s="21"/>
      <c r="N541" s="2">
        <v>0</v>
      </c>
      <c r="O541" s="21"/>
      <c r="P541" s="2">
        <v>0</v>
      </c>
      <c r="Q541" s="21"/>
      <c r="R541" s="21"/>
    </row>
    <row r="542" spans="1:18" x14ac:dyDescent="0.3">
      <c r="A542" s="21"/>
      <c r="B542" s="24"/>
      <c r="C542" s="2" t="s">
        <v>12</v>
      </c>
      <c r="D542" s="2">
        <v>280</v>
      </c>
      <c r="E542" s="21"/>
      <c r="F542" s="2">
        <v>0</v>
      </c>
      <c r="G542" s="21"/>
      <c r="H542" s="2">
        <v>0</v>
      </c>
      <c r="I542" s="21"/>
      <c r="J542" s="2">
        <v>0</v>
      </c>
      <c r="K542" s="21"/>
      <c r="L542" s="2">
        <v>166</v>
      </c>
      <c r="M542" s="21"/>
      <c r="N542" s="2">
        <v>0</v>
      </c>
      <c r="O542" s="21"/>
      <c r="P542" s="2">
        <v>0</v>
      </c>
      <c r="Q542" s="21"/>
      <c r="R542" s="21"/>
    </row>
    <row r="543" spans="1:18" x14ac:dyDescent="0.3">
      <c r="A543" s="21"/>
      <c r="B543" s="24">
        <v>45204</v>
      </c>
      <c r="C543" s="2" t="s">
        <v>10</v>
      </c>
      <c r="D543" s="2">
        <v>200</v>
      </c>
      <c r="E543" s="22">
        <f>SUM(D543:D1133)-SUM(E546:E1133)</f>
        <v>700</v>
      </c>
      <c r="F543" s="2">
        <v>2880</v>
      </c>
      <c r="G543" s="22">
        <f>SUM(F543:F1133)-SUM(G546:G1133)</f>
        <v>8875</v>
      </c>
      <c r="H543" s="2">
        <v>0</v>
      </c>
      <c r="I543" s="22">
        <f>SUM(H543:H1133)-SUM(I546:I1133)</f>
        <v>0</v>
      </c>
      <c r="J543" s="2">
        <v>1680</v>
      </c>
      <c r="K543" s="22">
        <f>SUM(J543:J1133)-SUM(K546:K1133)</f>
        <v>2940</v>
      </c>
      <c r="L543" s="2">
        <v>156</v>
      </c>
      <c r="M543" s="22">
        <f>SUM(L543:L1133)-SUM(M546:M1133)</f>
        <v>448</v>
      </c>
      <c r="N543" s="2">
        <v>0</v>
      </c>
      <c r="O543" s="22">
        <f>SUM(N543:N1133)-SUM(O546:O1133)</f>
        <v>0</v>
      </c>
      <c r="P543" s="2">
        <v>0</v>
      </c>
      <c r="Q543" s="22">
        <f>SUM(P543:P1133)-SUM(Q546:Q1133)</f>
        <v>0</v>
      </c>
      <c r="R543" s="21">
        <v>130</v>
      </c>
    </row>
    <row r="544" spans="1:18" x14ac:dyDescent="0.3">
      <c r="A544" s="21"/>
      <c r="B544" s="24"/>
      <c r="C544" s="2" t="s">
        <v>11</v>
      </c>
      <c r="D544" s="2">
        <v>300</v>
      </c>
      <c r="E544" s="21"/>
      <c r="F544" s="2">
        <v>3120</v>
      </c>
      <c r="G544" s="21"/>
      <c r="H544" s="2">
        <v>0</v>
      </c>
      <c r="I544" s="21"/>
      <c r="J544" s="2">
        <v>630</v>
      </c>
      <c r="K544" s="21"/>
      <c r="L544" s="2">
        <v>116</v>
      </c>
      <c r="M544" s="21"/>
      <c r="N544" s="2">
        <v>0</v>
      </c>
      <c r="O544" s="21"/>
      <c r="P544" s="2">
        <v>0</v>
      </c>
      <c r="Q544" s="21"/>
      <c r="R544" s="21"/>
    </row>
    <row r="545" spans="1:18" x14ac:dyDescent="0.3">
      <c r="A545" s="21"/>
      <c r="B545" s="24"/>
      <c r="C545" s="2" t="s">
        <v>12</v>
      </c>
      <c r="D545" s="2">
        <v>200</v>
      </c>
      <c r="E545" s="21"/>
      <c r="F545" s="2">
        <v>2875</v>
      </c>
      <c r="G545" s="21"/>
      <c r="H545" s="2">
        <v>0</v>
      </c>
      <c r="I545" s="21"/>
      <c r="J545" s="2">
        <v>630</v>
      </c>
      <c r="K545" s="21"/>
      <c r="L545" s="2">
        <v>176</v>
      </c>
      <c r="M545" s="21"/>
      <c r="N545" s="2">
        <v>0</v>
      </c>
      <c r="O545" s="21"/>
      <c r="P545" s="2">
        <v>0</v>
      </c>
      <c r="Q545" s="21"/>
      <c r="R545" s="21"/>
    </row>
    <row r="546" spans="1:18" x14ac:dyDescent="0.3">
      <c r="A546" s="21"/>
      <c r="B546" s="24">
        <v>45205</v>
      </c>
      <c r="C546" s="2" t="s">
        <v>10</v>
      </c>
      <c r="D546" s="2">
        <v>260</v>
      </c>
      <c r="E546" s="22">
        <f>SUM(D546:D1136)-SUM(E549:E1136)</f>
        <v>760</v>
      </c>
      <c r="F546" s="2">
        <v>1584</v>
      </c>
      <c r="G546" s="22">
        <f>SUM(F546:F1136)-SUM(G549:G1136)</f>
        <v>6432</v>
      </c>
      <c r="H546" s="2">
        <v>0</v>
      </c>
      <c r="I546" s="22">
        <f>SUM(H546:H1136)-SUM(I549:I1136)</f>
        <v>0</v>
      </c>
      <c r="J546" s="2">
        <v>1920</v>
      </c>
      <c r="K546" s="22">
        <f>SUM(J546:J1136)-SUM(K549:K1136)</f>
        <v>4800</v>
      </c>
      <c r="L546" s="2">
        <v>168</v>
      </c>
      <c r="M546" s="22">
        <f>SUM(L546:L1136)-SUM(M549:M1136)</f>
        <v>520</v>
      </c>
      <c r="N546" s="2">
        <v>0</v>
      </c>
      <c r="O546" s="22">
        <f>SUM(N546:N1136)-SUM(O549:O1136)</f>
        <v>0</v>
      </c>
      <c r="P546" s="2">
        <v>0</v>
      </c>
      <c r="Q546" s="22">
        <f>SUM(P546:P1136)-SUM(Q549:Q1136)</f>
        <v>0</v>
      </c>
      <c r="R546" s="21">
        <v>70</v>
      </c>
    </row>
    <row r="547" spans="1:18" x14ac:dyDescent="0.3">
      <c r="A547" s="21"/>
      <c r="B547" s="24"/>
      <c r="C547" s="2" t="s">
        <v>11</v>
      </c>
      <c r="D547" s="2">
        <v>300</v>
      </c>
      <c r="E547" s="21"/>
      <c r="F547" s="2">
        <v>2424</v>
      </c>
      <c r="G547" s="21"/>
      <c r="H547" s="2">
        <v>0</v>
      </c>
      <c r="I547" s="21"/>
      <c r="J547" s="2">
        <v>1440</v>
      </c>
      <c r="K547" s="21"/>
      <c r="L547" s="2">
        <v>176</v>
      </c>
      <c r="M547" s="21"/>
      <c r="N547" s="2">
        <v>0</v>
      </c>
      <c r="O547" s="21"/>
      <c r="P547" s="2">
        <v>0</v>
      </c>
      <c r="Q547" s="21"/>
      <c r="R547" s="21"/>
    </row>
    <row r="548" spans="1:18" x14ac:dyDescent="0.3">
      <c r="A548" s="21"/>
      <c r="B548" s="24"/>
      <c r="C548" s="2" t="s">
        <v>12</v>
      </c>
      <c r="D548" s="2">
        <v>200</v>
      </c>
      <c r="E548" s="21"/>
      <c r="F548" s="2">
        <v>2424</v>
      </c>
      <c r="G548" s="21"/>
      <c r="H548" s="2">
        <v>0</v>
      </c>
      <c r="I548" s="21"/>
      <c r="J548" s="2">
        <v>1440</v>
      </c>
      <c r="K548" s="21"/>
      <c r="L548" s="2">
        <v>176</v>
      </c>
      <c r="M548" s="21"/>
      <c r="N548" s="2">
        <v>0</v>
      </c>
      <c r="O548" s="21"/>
      <c r="P548" s="2">
        <v>0</v>
      </c>
      <c r="Q548" s="21"/>
      <c r="R548" s="21"/>
    </row>
    <row r="549" spans="1:18" x14ac:dyDescent="0.3">
      <c r="A549" s="21"/>
      <c r="B549" s="24">
        <v>45206</v>
      </c>
      <c r="C549" s="2" t="s">
        <v>10</v>
      </c>
      <c r="D549" s="2">
        <v>520</v>
      </c>
      <c r="E549" s="22">
        <f>SUM(D549:D1139)-SUM(E552:E1139)</f>
        <v>1020</v>
      </c>
      <c r="F549" s="2">
        <v>2074</v>
      </c>
      <c r="G549" s="22">
        <f>SUM(F549:F1139)-SUM(G552:G1139)</f>
        <v>8428</v>
      </c>
      <c r="H549" s="2">
        <v>0</v>
      </c>
      <c r="I549" s="22">
        <f>SUM(H549:H1139)-SUM(I552:I1139)</f>
        <v>0</v>
      </c>
      <c r="J549" s="2">
        <v>0</v>
      </c>
      <c r="K549" s="22">
        <f>SUM(J549:J1139)-SUM(K552:K1139)</f>
        <v>0</v>
      </c>
      <c r="L549" s="2">
        <v>152</v>
      </c>
      <c r="M549" s="22">
        <f>SUM(L549:L1139)-SUM(M552:M1139)</f>
        <v>464</v>
      </c>
      <c r="N549" s="2">
        <v>0</v>
      </c>
      <c r="O549" s="22">
        <f>SUM(N549:N1139)-SUM(O552:O1139)</f>
        <v>0</v>
      </c>
      <c r="P549" s="2">
        <v>0</v>
      </c>
      <c r="Q549" s="22">
        <f>SUM(P549:P1139)-SUM(Q552:Q1139)</f>
        <v>0</v>
      </c>
      <c r="R549" s="21">
        <v>55</v>
      </c>
    </row>
    <row r="550" spans="1:18" x14ac:dyDescent="0.3">
      <c r="A550" s="21"/>
      <c r="B550" s="24"/>
      <c r="C550" s="2" t="s">
        <v>11</v>
      </c>
      <c r="D550" s="2">
        <v>300</v>
      </c>
      <c r="E550" s="21"/>
      <c r="F550" s="2">
        <v>3282</v>
      </c>
      <c r="G550" s="21"/>
      <c r="H550" s="2">
        <v>0</v>
      </c>
      <c r="I550" s="21"/>
      <c r="J550" s="2">
        <v>0</v>
      </c>
      <c r="K550" s="21"/>
      <c r="L550" s="2">
        <v>160</v>
      </c>
      <c r="M550" s="21"/>
      <c r="N550" s="2">
        <v>0</v>
      </c>
      <c r="O550" s="21"/>
      <c r="P550" s="2">
        <v>0</v>
      </c>
      <c r="Q550" s="21"/>
      <c r="R550" s="21"/>
    </row>
    <row r="551" spans="1:18" x14ac:dyDescent="0.3">
      <c r="A551" s="21"/>
      <c r="B551" s="24"/>
      <c r="C551" s="2" t="s">
        <v>12</v>
      </c>
      <c r="D551" s="2">
        <v>200</v>
      </c>
      <c r="E551" s="21"/>
      <c r="F551" s="2">
        <v>3072</v>
      </c>
      <c r="G551" s="21"/>
      <c r="H551" s="2">
        <v>0</v>
      </c>
      <c r="I551" s="21"/>
      <c r="J551" s="2">
        <v>0</v>
      </c>
      <c r="K551" s="21"/>
      <c r="L551" s="2">
        <v>152</v>
      </c>
      <c r="M551" s="21"/>
      <c r="N551" s="2">
        <v>0</v>
      </c>
      <c r="O551" s="21"/>
      <c r="P551" s="2">
        <v>0</v>
      </c>
      <c r="Q551" s="21"/>
      <c r="R551" s="21"/>
    </row>
    <row r="552" spans="1:18" x14ac:dyDescent="0.3">
      <c r="A552" s="21"/>
      <c r="B552" s="24">
        <v>45207</v>
      </c>
      <c r="C552" s="2" t="s">
        <v>10</v>
      </c>
      <c r="D552" s="2">
        <v>200</v>
      </c>
      <c r="E552" s="22">
        <f>SUM(D552:D1142)-SUM(E555:E1142)</f>
        <v>700</v>
      </c>
      <c r="F552" s="2">
        <v>1200</v>
      </c>
      <c r="G552" s="22">
        <f>SUM(F552:F1142)-SUM(G555:G1142)</f>
        <v>6672</v>
      </c>
      <c r="H552" s="2">
        <v>0</v>
      </c>
      <c r="I552" s="22">
        <f>SUM(H552:H1142)-SUM(I555:I1142)</f>
        <v>0</v>
      </c>
      <c r="J552" s="2">
        <v>1248</v>
      </c>
      <c r="K552" s="22">
        <f>SUM(J552:J1142)-SUM(K555:K1142)</f>
        <v>1248</v>
      </c>
      <c r="L552" s="2">
        <v>152</v>
      </c>
      <c r="M552" s="22">
        <f>SUM(L552:L1142)-SUM(M555:M1142)</f>
        <v>472</v>
      </c>
      <c r="N552" s="2">
        <v>0</v>
      </c>
      <c r="O552" s="22">
        <f>SUM(N552:N1142)-SUM(O555:O1142)</f>
        <v>0</v>
      </c>
      <c r="P552" s="2">
        <v>0</v>
      </c>
      <c r="Q552" s="22">
        <f>SUM(P552:P1142)-SUM(Q555:Q1142)</f>
        <v>0</v>
      </c>
      <c r="R552" s="21"/>
    </row>
    <row r="553" spans="1:18" x14ac:dyDescent="0.3">
      <c r="A553" s="21"/>
      <c r="B553" s="24"/>
      <c r="C553" s="2" t="s">
        <v>11</v>
      </c>
      <c r="D553" s="2">
        <v>300</v>
      </c>
      <c r="E553" s="21"/>
      <c r="F553" s="2">
        <v>2832</v>
      </c>
      <c r="G553" s="21"/>
      <c r="H553" s="2">
        <v>0</v>
      </c>
      <c r="I553" s="21"/>
      <c r="J553" s="2">
        <v>0</v>
      </c>
      <c r="K553" s="21"/>
      <c r="L553" s="2">
        <v>160</v>
      </c>
      <c r="M553" s="21"/>
      <c r="N553" s="2">
        <v>0</v>
      </c>
      <c r="O553" s="21"/>
      <c r="P553" s="2">
        <v>0</v>
      </c>
      <c r="Q553" s="21"/>
      <c r="R553" s="21"/>
    </row>
    <row r="554" spans="1:18" x14ac:dyDescent="0.3">
      <c r="A554" s="21"/>
      <c r="B554" s="24"/>
      <c r="C554" s="2" t="s">
        <v>12</v>
      </c>
      <c r="D554" s="2">
        <v>200</v>
      </c>
      <c r="E554" s="21"/>
      <c r="F554" s="2">
        <v>2640</v>
      </c>
      <c r="G554" s="21"/>
      <c r="H554" s="2">
        <v>0</v>
      </c>
      <c r="I554" s="21"/>
      <c r="J554" s="2">
        <v>0</v>
      </c>
      <c r="K554" s="21"/>
      <c r="L554" s="2">
        <v>160</v>
      </c>
      <c r="M554" s="21"/>
      <c r="N554" s="2">
        <v>0</v>
      </c>
      <c r="O554" s="21"/>
      <c r="P554" s="2">
        <v>0</v>
      </c>
      <c r="Q554" s="21"/>
      <c r="R554" s="21"/>
    </row>
    <row r="555" spans="1:18" x14ac:dyDescent="0.3">
      <c r="A555" s="21"/>
      <c r="B555" s="23">
        <v>45208</v>
      </c>
      <c r="C555" s="2" t="s">
        <v>10</v>
      </c>
      <c r="D555" s="2">
        <v>300</v>
      </c>
      <c r="E555" s="26">
        <f>SUM(D555:D1145)-SUM(E558:E1145)</f>
        <v>700</v>
      </c>
      <c r="F555" s="2">
        <v>2976</v>
      </c>
      <c r="G555" s="26">
        <f>SUM(F555:F1145)-SUM(G558:G1145)</f>
        <v>8928</v>
      </c>
      <c r="H555" s="2">
        <v>0</v>
      </c>
      <c r="I555" s="26">
        <f>SUM(H555:H1145)-SUM(I558:I1145)</f>
        <v>0</v>
      </c>
      <c r="J555" s="2">
        <v>0</v>
      </c>
      <c r="K555" s="26">
        <f>SUM(J555:J1145)-SUM(K558:K1145)</f>
        <v>0</v>
      </c>
      <c r="L555" s="2">
        <v>160</v>
      </c>
      <c r="M555" s="26">
        <f>SUM(L555:L1145)-SUM(M558:M1145)</f>
        <v>480</v>
      </c>
      <c r="N555" s="2">
        <v>0</v>
      </c>
      <c r="O555" s="26">
        <f>SUM(N555:N1145)-SUM(O558:O1145)</f>
        <v>0</v>
      </c>
      <c r="P555" s="2">
        <v>0</v>
      </c>
      <c r="Q555" s="26">
        <f>SUM(P555:P1145)-SUM(Q558:Q1145)</f>
        <v>0</v>
      </c>
      <c r="R555" s="21"/>
    </row>
    <row r="556" spans="1:18" x14ac:dyDescent="0.3">
      <c r="A556" s="21"/>
      <c r="B556" s="23"/>
      <c r="C556" s="2" t="s">
        <v>11</v>
      </c>
      <c r="D556" s="2">
        <v>200</v>
      </c>
      <c r="E556" s="27"/>
      <c r="F556" s="2">
        <v>2976</v>
      </c>
      <c r="G556" s="27"/>
      <c r="H556" s="2">
        <v>0</v>
      </c>
      <c r="I556" s="27"/>
      <c r="J556" s="2">
        <v>0</v>
      </c>
      <c r="K556" s="27"/>
      <c r="L556" s="2">
        <v>160</v>
      </c>
      <c r="M556" s="27"/>
      <c r="N556" s="2">
        <v>0</v>
      </c>
      <c r="O556" s="27"/>
      <c r="P556" s="2">
        <v>0</v>
      </c>
      <c r="Q556" s="27"/>
      <c r="R556" s="21"/>
    </row>
    <row r="557" spans="1:18" x14ac:dyDescent="0.3">
      <c r="A557" s="21"/>
      <c r="B557" s="23"/>
      <c r="C557" s="2" t="s">
        <v>12</v>
      </c>
      <c r="D557" s="2">
        <v>200</v>
      </c>
      <c r="E557" s="27"/>
      <c r="F557" s="2">
        <v>2976</v>
      </c>
      <c r="G557" s="27"/>
      <c r="H557" s="2">
        <v>0</v>
      </c>
      <c r="I557" s="27"/>
      <c r="J557" s="2">
        <v>0</v>
      </c>
      <c r="K557" s="27"/>
      <c r="L557" s="2">
        <v>160</v>
      </c>
      <c r="M557" s="27"/>
      <c r="N557" s="2">
        <v>0</v>
      </c>
      <c r="O557" s="27"/>
      <c r="P557" s="2">
        <v>0</v>
      </c>
      <c r="Q557" s="27"/>
      <c r="R557" s="21"/>
    </row>
    <row r="558" spans="1:18" x14ac:dyDescent="0.3">
      <c r="A558" s="21"/>
      <c r="B558" s="24">
        <v>45209</v>
      </c>
      <c r="C558" s="2" t="s">
        <v>10</v>
      </c>
      <c r="D558" s="2">
        <v>300</v>
      </c>
      <c r="E558" s="22">
        <f>SUM(D558:D1148)-SUM(E561:E1148)</f>
        <v>700</v>
      </c>
      <c r="F558" s="2">
        <v>2928</v>
      </c>
      <c r="G558" s="22">
        <f>SUM(F558:F1148)-SUM(G561:G1148)</f>
        <v>8784</v>
      </c>
      <c r="H558" s="2">
        <v>0</v>
      </c>
      <c r="I558" s="22">
        <f>SUM(H558:H1148)-SUM(I561:I1148)</f>
        <v>0</v>
      </c>
      <c r="J558" s="2">
        <v>0</v>
      </c>
      <c r="K558" s="22">
        <f>SUM(J558:J1148)-SUM(K561:K1148)</f>
        <v>0</v>
      </c>
      <c r="L558" s="2">
        <v>152</v>
      </c>
      <c r="M558" s="22">
        <f>SUM(L558:L1148)-SUM(M561:M1148)</f>
        <v>456</v>
      </c>
      <c r="N558" s="2">
        <v>0</v>
      </c>
      <c r="O558" s="22">
        <f>SUM(N558:N1148)-SUM(O561:O1148)</f>
        <v>0</v>
      </c>
      <c r="P558" s="2">
        <v>0</v>
      </c>
      <c r="Q558" s="22">
        <f>SUM(P558:P1148)-SUM(Q561:Q1148)</f>
        <v>0</v>
      </c>
      <c r="R558" s="21">
        <v>53</v>
      </c>
    </row>
    <row r="559" spans="1:18" x14ac:dyDescent="0.3">
      <c r="A559" s="21"/>
      <c r="B559" s="24"/>
      <c r="C559" s="2" t="s">
        <v>11</v>
      </c>
      <c r="D559" s="2">
        <v>200</v>
      </c>
      <c r="E559" s="21"/>
      <c r="F559" s="2">
        <v>2928</v>
      </c>
      <c r="G559" s="21"/>
      <c r="H559" s="2">
        <v>0</v>
      </c>
      <c r="I559" s="21"/>
      <c r="J559" s="2">
        <v>0</v>
      </c>
      <c r="K559" s="21"/>
      <c r="L559" s="2">
        <v>152</v>
      </c>
      <c r="M559" s="21"/>
      <c r="N559" s="2">
        <v>0</v>
      </c>
      <c r="O559" s="21"/>
      <c r="P559" s="2">
        <v>0</v>
      </c>
      <c r="Q559" s="21"/>
      <c r="R559" s="21"/>
    </row>
    <row r="560" spans="1:18" x14ac:dyDescent="0.3">
      <c r="A560" s="21"/>
      <c r="B560" s="24"/>
      <c r="C560" s="2" t="s">
        <v>12</v>
      </c>
      <c r="D560" s="2">
        <v>200</v>
      </c>
      <c r="E560" s="21"/>
      <c r="F560" s="2">
        <v>2928</v>
      </c>
      <c r="G560" s="21"/>
      <c r="H560" s="2">
        <v>0</v>
      </c>
      <c r="I560" s="21"/>
      <c r="J560" s="2">
        <v>0</v>
      </c>
      <c r="K560" s="21"/>
      <c r="L560" s="2">
        <v>152</v>
      </c>
      <c r="M560" s="21"/>
      <c r="N560" s="2">
        <v>0</v>
      </c>
      <c r="O560" s="21"/>
      <c r="P560" s="2">
        <v>0</v>
      </c>
      <c r="Q560" s="21"/>
      <c r="R560" s="21"/>
    </row>
    <row r="561" spans="1:18" x14ac:dyDescent="0.3">
      <c r="A561" s="21"/>
      <c r="B561" s="24">
        <v>45210</v>
      </c>
      <c r="C561" s="2" t="s">
        <v>10</v>
      </c>
      <c r="D561" s="2">
        <v>200</v>
      </c>
      <c r="E561" s="22">
        <f>SUM(D561:D1151)-SUM(E564:E1151)</f>
        <v>600</v>
      </c>
      <c r="F561" s="2">
        <v>2736</v>
      </c>
      <c r="G561" s="22">
        <f>SUM(F561:F1151)-SUM(G564:G1151)</f>
        <v>8208</v>
      </c>
      <c r="H561" s="2">
        <v>0</v>
      </c>
      <c r="I561" s="22">
        <f>SUM(H561:H1151)-SUM(I564:I1151)</f>
        <v>0</v>
      </c>
      <c r="J561" s="2">
        <v>0</v>
      </c>
      <c r="K561" s="22">
        <f>SUM(J561:J1151)-SUM(K564:K1151)</f>
        <v>0</v>
      </c>
      <c r="L561" s="2">
        <v>152</v>
      </c>
      <c r="M561" s="22">
        <f>SUM(L561:L1151)-SUM(M564:M1151)</f>
        <v>456</v>
      </c>
      <c r="N561" s="2">
        <v>0</v>
      </c>
      <c r="O561" s="22">
        <f>SUM(N561:N1151)-SUM(O564:O1151)</f>
        <v>0</v>
      </c>
      <c r="P561" s="2">
        <v>0</v>
      </c>
      <c r="Q561" s="22">
        <f>SUM(P561:P1151)-SUM(Q564:Q1151)</f>
        <v>0</v>
      </c>
      <c r="R561" s="21">
        <v>56</v>
      </c>
    </row>
    <row r="562" spans="1:18" x14ac:dyDescent="0.3">
      <c r="A562" s="21"/>
      <c r="B562" s="24"/>
      <c r="C562" s="2" t="s">
        <v>11</v>
      </c>
      <c r="D562" s="2">
        <v>200</v>
      </c>
      <c r="E562" s="21"/>
      <c r="F562" s="2">
        <v>2736</v>
      </c>
      <c r="G562" s="21"/>
      <c r="H562" s="2">
        <v>0</v>
      </c>
      <c r="I562" s="21"/>
      <c r="J562" s="2">
        <v>0</v>
      </c>
      <c r="K562" s="21"/>
      <c r="L562" s="2">
        <v>152</v>
      </c>
      <c r="M562" s="21"/>
      <c r="N562" s="2">
        <v>0</v>
      </c>
      <c r="O562" s="21"/>
      <c r="P562" s="2">
        <v>0</v>
      </c>
      <c r="Q562" s="21"/>
      <c r="R562" s="21"/>
    </row>
    <row r="563" spans="1:18" x14ac:dyDescent="0.3">
      <c r="A563" s="21"/>
      <c r="B563" s="24"/>
      <c r="C563" s="2" t="s">
        <v>12</v>
      </c>
      <c r="D563" s="2">
        <v>200</v>
      </c>
      <c r="E563" s="21"/>
      <c r="F563" s="2">
        <v>2736</v>
      </c>
      <c r="G563" s="21"/>
      <c r="H563" s="2">
        <v>0</v>
      </c>
      <c r="I563" s="21"/>
      <c r="J563" s="2">
        <v>0</v>
      </c>
      <c r="K563" s="21"/>
      <c r="L563" s="2">
        <v>152</v>
      </c>
      <c r="M563" s="21"/>
      <c r="N563" s="2">
        <v>0</v>
      </c>
      <c r="O563" s="21"/>
      <c r="P563" s="2">
        <v>0</v>
      </c>
      <c r="Q563" s="21"/>
      <c r="R563" s="21"/>
    </row>
    <row r="564" spans="1:18" x14ac:dyDescent="0.3">
      <c r="A564" s="21"/>
      <c r="B564" s="24">
        <v>45211</v>
      </c>
      <c r="C564" s="2" t="s">
        <v>10</v>
      </c>
      <c r="D564" s="2">
        <v>200</v>
      </c>
      <c r="E564" s="22">
        <f>SUM(D564:D1154)-SUM(E567:E1154)</f>
        <v>600</v>
      </c>
      <c r="F564" s="2">
        <v>2640</v>
      </c>
      <c r="G564" s="22">
        <f>SUM(F564:F1154)-SUM(G567:G1154)</f>
        <v>7920</v>
      </c>
      <c r="H564" s="2">
        <v>0</v>
      </c>
      <c r="I564" s="22">
        <f>SUM(H564:H1154)-SUM(I567:I1154)</f>
        <v>0</v>
      </c>
      <c r="J564" s="2">
        <v>0</v>
      </c>
      <c r="K564" s="22">
        <f>SUM(J564:J1154)-SUM(K567:K1154)</f>
        <v>0</v>
      </c>
      <c r="L564" s="2">
        <v>152</v>
      </c>
      <c r="M564" s="22">
        <f>SUM(L564:L1154)-SUM(M567:M1154)</f>
        <v>456</v>
      </c>
      <c r="N564" s="2">
        <v>0</v>
      </c>
      <c r="O564" s="22">
        <f>SUM(N564:N1154)-SUM(O567:O1154)</f>
        <v>0</v>
      </c>
      <c r="P564" s="2">
        <v>0</v>
      </c>
      <c r="Q564" s="22">
        <f>SUM(P564:P1154)-SUM(Q567:Q1154)</f>
        <v>0</v>
      </c>
      <c r="R564" s="21">
        <v>30</v>
      </c>
    </row>
    <row r="565" spans="1:18" x14ac:dyDescent="0.3">
      <c r="A565" s="21"/>
      <c r="B565" s="24"/>
      <c r="C565" s="2" t="s">
        <v>11</v>
      </c>
      <c r="D565" s="2">
        <v>200</v>
      </c>
      <c r="E565" s="21"/>
      <c r="F565" s="2">
        <v>2640</v>
      </c>
      <c r="G565" s="21"/>
      <c r="H565" s="2">
        <v>0</v>
      </c>
      <c r="I565" s="21"/>
      <c r="J565" s="2">
        <v>0</v>
      </c>
      <c r="K565" s="21"/>
      <c r="L565" s="2">
        <v>152</v>
      </c>
      <c r="M565" s="21"/>
      <c r="N565" s="2">
        <v>0</v>
      </c>
      <c r="O565" s="21"/>
      <c r="P565" s="2">
        <v>0</v>
      </c>
      <c r="Q565" s="21"/>
      <c r="R565" s="21"/>
    </row>
    <row r="566" spans="1:18" x14ac:dyDescent="0.3">
      <c r="A566" s="21"/>
      <c r="B566" s="24"/>
      <c r="C566" s="2" t="s">
        <v>12</v>
      </c>
      <c r="D566" s="2">
        <v>200</v>
      </c>
      <c r="E566" s="21"/>
      <c r="F566" s="2">
        <v>2640</v>
      </c>
      <c r="G566" s="21"/>
      <c r="H566" s="2">
        <v>0</v>
      </c>
      <c r="I566" s="21"/>
      <c r="J566" s="2">
        <v>0</v>
      </c>
      <c r="K566" s="21"/>
      <c r="L566" s="2">
        <v>152</v>
      </c>
      <c r="M566" s="21"/>
      <c r="N566" s="2">
        <v>0</v>
      </c>
      <c r="O566" s="21"/>
      <c r="P566" s="2">
        <v>0</v>
      </c>
      <c r="Q566" s="21"/>
      <c r="R566" s="21"/>
    </row>
    <row r="567" spans="1:18" x14ac:dyDescent="0.3">
      <c r="A567" s="21"/>
      <c r="B567" s="24">
        <v>45212</v>
      </c>
      <c r="C567" s="2" t="s">
        <v>10</v>
      </c>
      <c r="D567" s="2">
        <v>320</v>
      </c>
      <c r="E567" s="22">
        <f>SUM(D567:D1157)-SUM(E570:E1157)</f>
        <v>720</v>
      </c>
      <c r="F567" s="2">
        <v>2400</v>
      </c>
      <c r="G567" s="22">
        <f>SUM(F567:F1157)-SUM(G570:G1157)</f>
        <v>6912</v>
      </c>
      <c r="H567" s="2">
        <v>0</v>
      </c>
      <c r="I567" s="22">
        <f>SUM(H567:H1157)-SUM(I570:I1157)</f>
        <v>0</v>
      </c>
      <c r="J567" s="2">
        <v>0</v>
      </c>
      <c r="K567" s="22">
        <f>SUM(J567:J1157)-SUM(K570:K1157)</f>
        <v>0</v>
      </c>
      <c r="L567" s="2">
        <v>152</v>
      </c>
      <c r="M567" s="22">
        <f>SUM(L567:L1157)-SUM(M570:M1157)</f>
        <v>456</v>
      </c>
      <c r="N567" s="2">
        <v>0</v>
      </c>
      <c r="O567" s="22">
        <f>SUM(N567:N1157)-SUM(O570:O1157)</f>
        <v>0</v>
      </c>
      <c r="P567" s="2">
        <v>0</v>
      </c>
      <c r="Q567" s="22">
        <f>SUM(P567:P1157)-SUM(Q570:Q1157)</f>
        <v>0</v>
      </c>
      <c r="R567" s="21">
        <v>25</v>
      </c>
    </row>
    <row r="568" spans="1:18" x14ac:dyDescent="0.3">
      <c r="A568" s="21"/>
      <c r="B568" s="24"/>
      <c r="C568" s="2" t="s">
        <v>11</v>
      </c>
      <c r="D568" s="2">
        <v>200</v>
      </c>
      <c r="E568" s="21"/>
      <c r="F568" s="2">
        <v>2256</v>
      </c>
      <c r="G568" s="21"/>
      <c r="H568" s="2">
        <v>0</v>
      </c>
      <c r="I568" s="21"/>
      <c r="J568" s="2">
        <v>0</v>
      </c>
      <c r="K568" s="21"/>
      <c r="L568" s="2">
        <v>152</v>
      </c>
      <c r="M568" s="21"/>
      <c r="N568" s="2">
        <v>0</v>
      </c>
      <c r="O568" s="21"/>
      <c r="P568" s="2">
        <v>0</v>
      </c>
      <c r="Q568" s="21"/>
      <c r="R568" s="21"/>
    </row>
    <row r="569" spans="1:18" x14ac:dyDescent="0.3">
      <c r="A569" s="21"/>
      <c r="B569" s="24"/>
      <c r="C569" s="2" t="s">
        <v>12</v>
      </c>
      <c r="D569" s="2">
        <v>200</v>
      </c>
      <c r="E569" s="21"/>
      <c r="F569" s="2">
        <v>2256</v>
      </c>
      <c r="G569" s="21"/>
      <c r="H569" s="2">
        <v>0</v>
      </c>
      <c r="I569" s="21"/>
      <c r="J569" s="2">
        <v>0</v>
      </c>
      <c r="K569" s="21"/>
      <c r="L569" s="2">
        <v>152</v>
      </c>
      <c r="M569" s="21"/>
      <c r="N569" s="2">
        <v>0</v>
      </c>
      <c r="O569" s="21"/>
      <c r="P569" s="2">
        <v>0</v>
      </c>
      <c r="Q569" s="21"/>
      <c r="R569" s="21"/>
    </row>
    <row r="570" spans="1:18" x14ac:dyDescent="0.3">
      <c r="A570" s="21"/>
      <c r="B570" s="24">
        <v>45213</v>
      </c>
      <c r="C570" s="2" t="s">
        <v>10</v>
      </c>
      <c r="D570" s="2">
        <v>560</v>
      </c>
      <c r="E570" s="22">
        <f>SUM(D570:D1160)-SUM(E573:E1160)</f>
        <v>1360</v>
      </c>
      <c r="F570" s="2">
        <v>900</v>
      </c>
      <c r="G570" s="22">
        <f>SUM(F570:F1160)-SUM(G573:G1160)</f>
        <v>4404</v>
      </c>
      <c r="H570" s="2">
        <v>0</v>
      </c>
      <c r="I570" s="22">
        <f>SUM(H570:H1160)-SUM(I573:I1160)</f>
        <v>0</v>
      </c>
      <c r="J570" s="2">
        <v>0</v>
      </c>
      <c r="K570" s="22">
        <f>SUM(J570:J1160)-SUM(K573:K1160)</f>
        <v>0</v>
      </c>
      <c r="L570" s="2">
        <v>109</v>
      </c>
      <c r="M570" s="22">
        <f>SUM(L570:L1160)-SUM(M573:M1160)</f>
        <v>413</v>
      </c>
      <c r="N570" s="2">
        <v>0</v>
      </c>
      <c r="O570" s="22">
        <f>SUM(N570:N1160)-SUM(O573:O1160)</f>
        <v>0</v>
      </c>
      <c r="P570" s="2">
        <v>0</v>
      </c>
      <c r="Q570" s="22">
        <f>SUM(P570:P1160)-SUM(Q573:Q1160)</f>
        <v>0</v>
      </c>
      <c r="R570" s="21">
        <v>30</v>
      </c>
    </row>
    <row r="571" spans="1:18" x14ac:dyDescent="0.3">
      <c r="A571" s="21"/>
      <c r="B571" s="24"/>
      <c r="C571" s="2" t="s">
        <v>11</v>
      </c>
      <c r="D571" s="2">
        <v>600</v>
      </c>
      <c r="E571" s="21"/>
      <c r="F571" s="2">
        <v>1584</v>
      </c>
      <c r="G571" s="21"/>
      <c r="H571" s="2">
        <v>0</v>
      </c>
      <c r="I571" s="21"/>
      <c r="J571" s="2">
        <v>0</v>
      </c>
      <c r="K571" s="21"/>
      <c r="L571" s="2">
        <v>152</v>
      </c>
      <c r="M571" s="21"/>
      <c r="N571" s="2">
        <v>0</v>
      </c>
      <c r="O571" s="21"/>
      <c r="P571" s="2">
        <v>0</v>
      </c>
      <c r="Q571" s="21"/>
      <c r="R571" s="21"/>
    </row>
    <row r="572" spans="1:18" x14ac:dyDescent="0.3">
      <c r="A572" s="21"/>
      <c r="B572" s="24"/>
      <c r="C572" s="2" t="s">
        <v>12</v>
      </c>
      <c r="D572" s="2">
        <v>200</v>
      </c>
      <c r="E572" s="21"/>
      <c r="F572" s="2">
        <v>1920</v>
      </c>
      <c r="G572" s="21"/>
      <c r="H572" s="2">
        <v>0</v>
      </c>
      <c r="I572" s="21"/>
      <c r="J572" s="2">
        <v>0</v>
      </c>
      <c r="K572" s="21"/>
      <c r="L572" s="2">
        <v>152</v>
      </c>
      <c r="M572" s="21"/>
      <c r="N572" s="2">
        <v>0</v>
      </c>
      <c r="O572" s="21"/>
      <c r="P572" s="2">
        <v>0</v>
      </c>
      <c r="Q572" s="21"/>
      <c r="R572" s="21"/>
    </row>
    <row r="573" spans="1:18" x14ac:dyDescent="0.3">
      <c r="A573" s="21"/>
      <c r="B573" s="24">
        <v>45214</v>
      </c>
      <c r="C573" s="2" t="s">
        <v>10</v>
      </c>
      <c r="D573" s="2">
        <v>360</v>
      </c>
      <c r="E573" s="22">
        <f>SUM(D573:D1163)-SUM(E576:E1163)</f>
        <v>1020</v>
      </c>
      <c r="F573" s="2">
        <v>1728</v>
      </c>
      <c r="G573" s="22">
        <f>SUM(F573:F1163)-SUM(G576:G1163)</f>
        <v>4464</v>
      </c>
      <c r="H573" s="2">
        <v>0</v>
      </c>
      <c r="I573" s="22">
        <f>SUM(H573:H1163)-SUM(I576:I1163)</f>
        <v>0</v>
      </c>
      <c r="J573" s="2">
        <v>0</v>
      </c>
      <c r="K573" s="22">
        <f>SUM(J573:J1163)-SUM(K576:K1163)</f>
        <v>0</v>
      </c>
      <c r="L573" s="2">
        <v>152</v>
      </c>
      <c r="M573" s="22">
        <f>SUM(L573:L1163)-SUM(M576:M1163)</f>
        <v>456</v>
      </c>
      <c r="N573" s="2">
        <v>0</v>
      </c>
      <c r="O573" s="22">
        <f>SUM(N573:N1163)-SUM(O576:O1163)</f>
        <v>0</v>
      </c>
      <c r="P573" s="2">
        <v>0</v>
      </c>
      <c r="Q573" s="22">
        <f>SUM(P573:P1163)-SUM(Q576:Q1163)</f>
        <v>0</v>
      </c>
      <c r="R573" s="21"/>
    </row>
    <row r="574" spans="1:18" x14ac:dyDescent="0.3">
      <c r="A574" s="21"/>
      <c r="B574" s="24"/>
      <c r="C574" s="2" t="s">
        <v>11</v>
      </c>
      <c r="D574" s="2">
        <v>300</v>
      </c>
      <c r="E574" s="21"/>
      <c r="F574" s="2">
        <v>1440</v>
      </c>
      <c r="G574" s="21"/>
      <c r="H574" s="2">
        <v>0</v>
      </c>
      <c r="I574" s="21"/>
      <c r="J574" s="2">
        <v>0</v>
      </c>
      <c r="K574" s="21"/>
      <c r="L574" s="2">
        <v>152</v>
      </c>
      <c r="M574" s="21"/>
      <c r="N574" s="2">
        <v>0</v>
      </c>
      <c r="O574" s="21"/>
      <c r="P574" s="2">
        <v>0</v>
      </c>
      <c r="Q574" s="21"/>
      <c r="R574" s="21"/>
    </row>
    <row r="575" spans="1:18" x14ac:dyDescent="0.3">
      <c r="A575" s="21"/>
      <c r="B575" s="24"/>
      <c r="C575" s="2" t="s">
        <v>12</v>
      </c>
      <c r="D575" s="2">
        <v>360</v>
      </c>
      <c r="E575" s="21"/>
      <c r="F575" s="2">
        <v>1296</v>
      </c>
      <c r="G575" s="21"/>
      <c r="H575" s="2">
        <v>0</v>
      </c>
      <c r="I575" s="21"/>
      <c r="J575" s="2">
        <v>0</v>
      </c>
      <c r="K575" s="21"/>
      <c r="L575" s="2">
        <v>152</v>
      </c>
      <c r="M575" s="21"/>
      <c r="N575" s="2">
        <v>0</v>
      </c>
      <c r="O575" s="21"/>
      <c r="P575" s="2">
        <v>0</v>
      </c>
      <c r="Q575" s="21"/>
      <c r="R575" s="21"/>
    </row>
    <row r="576" spans="1:18" x14ac:dyDescent="0.3">
      <c r="A576" s="21"/>
      <c r="B576" s="24">
        <v>45215</v>
      </c>
      <c r="C576" s="2" t="s">
        <v>10</v>
      </c>
      <c r="D576" s="2">
        <v>300</v>
      </c>
      <c r="E576" s="22">
        <f>SUM(D576:D1166)-SUM(E579:E1166)</f>
        <v>1000</v>
      </c>
      <c r="F576" s="2">
        <v>1296</v>
      </c>
      <c r="G576" s="22">
        <f>SUM(F576:F1166)-SUM(G579:G1166)</f>
        <v>3888</v>
      </c>
      <c r="H576" s="2">
        <v>0</v>
      </c>
      <c r="I576" s="22">
        <f>SUM(H576:H1166)-SUM(I579:I1166)</f>
        <v>0</v>
      </c>
      <c r="J576" s="2">
        <v>0</v>
      </c>
      <c r="K576" s="22">
        <f>SUM(J576:J1166)-SUM(K579:K1166)</f>
        <v>0</v>
      </c>
      <c r="L576" s="2">
        <v>152</v>
      </c>
      <c r="M576" s="22">
        <f>SUM(L576:L1166)-SUM(M579:M1166)</f>
        <v>452</v>
      </c>
      <c r="N576" s="2">
        <v>0</v>
      </c>
      <c r="O576" s="22">
        <f>SUM(N576:N1166)-SUM(O579:O1166)</f>
        <v>0</v>
      </c>
      <c r="P576" s="2">
        <v>0</v>
      </c>
      <c r="Q576" s="22">
        <f>SUM(P576:P1166)-SUM(Q579:Q1166)</f>
        <v>0</v>
      </c>
      <c r="R576" s="21">
        <v>30</v>
      </c>
    </row>
    <row r="577" spans="1:18" x14ac:dyDescent="0.3">
      <c r="A577" s="21"/>
      <c r="B577" s="24"/>
      <c r="C577" s="2" t="s">
        <v>11</v>
      </c>
      <c r="D577" s="2">
        <v>140</v>
      </c>
      <c r="E577" s="21"/>
      <c r="F577" s="2">
        <v>1824</v>
      </c>
      <c r="G577" s="21"/>
      <c r="H577" s="2">
        <v>0</v>
      </c>
      <c r="I577" s="21"/>
      <c r="J577" s="2">
        <v>0</v>
      </c>
      <c r="K577" s="21"/>
      <c r="L577" s="2">
        <v>152</v>
      </c>
      <c r="M577" s="21"/>
      <c r="N577" s="2">
        <v>0</v>
      </c>
      <c r="O577" s="21"/>
      <c r="P577" s="2">
        <v>0</v>
      </c>
      <c r="Q577" s="21"/>
      <c r="R577" s="21"/>
    </row>
    <row r="578" spans="1:18" x14ac:dyDescent="0.3">
      <c r="A578" s="21"/>
      <c r="B578" s="24"/>
      <c r="C578" s="2" t="s">
        <v>12</v>
      </c>
      <c r="D578" s="2">
        <v>560</v>
      </c>
      <c r="E578" s="21"/>
      <c r="F578" s="2">
        <v>768</v>
      </c>
      <c r="G578" s="21"/>
      <c r="H578" s="2">
        <v>0</v>
      </c>
      <c r="I578" s="21"/>
      <c r="J578" s="2">
        <v>0</v>
      </c>
      <c r="K578" s="21"/>
      <c r="L578" s="2">
        <v>148</v>
      </c>
      <c r="M578" s="21"/>
      <c r="N578" s="2">
        <v>0</v>
      </c>
      <c r="O578" s="21"/>
      <c r="P578" s="2">
        <v>0</v>
      </c>
      <c r="Q578" s="21"/>
      <c r="R578" s="21"/>
    </row>
    <row r="579" spans="1:18" x14ac:dyDescent="0.3">
      <c r="A579" s="21"/>
      <c r="B579" s="24">
        <v>45216</v>
      </c>
      <c r="C579" s="2" t="s">
        <v>10</v>
      </c>
      <c r="D579" s="2">
        <v>500</v>
      </c>
      <c r="E579" s="22">
        <f>SUM(D579:D1169)-SUM(E582:E1169)</f>
        <v>860</v>
      </c>
      <c r="F579" s="2">
        <v>1440</v>
      </c>
      <c r="G579" s="22">
        <f>SUM(F579:F1169)-SUM(G582:G1169)</f>
        <v>4620</v>
      </c>
      <c r="H579" s="2">
        <v>0</v>
      </c>
      <c r="I579" s="22">
        <f>SUM(H579:H1169)-SUM(I582:I1169)</f>
        <v>0</v>
      </c>
      <c r="J579" s="2">
        <v>0</v>
      </c>
      <c r="K579" s="22">
        <f>SUM(J579:J1169)-SUM(K582:K1169)</f>
        <v>0</v>
      </c>
      <c r="L579" s="2">
        <v>152</v>
      </c>
      <c r="M579" s="22">
        <f>SUM(L579:L1169)-SUM(M582:M1169)</f>
        <v>444</v>
      </c>
      <c r="N579" s="2">
        <v>0</v>
      </c>
      <c r="O579" s="22">
        <f>SUM(N579:N1169)-SUM(O582:O1169)</f>
        <v>0</v>
      </c>
      <c r="P579" s="2">
        <v>0</v>
      </c>
      <c r="Q579" s="22">
        <f>SUM(P579:P1169)-SUM(Q582:Q1169)</f>
        <v>0</v>
      </c>
      <c r="R579" s="21">
        <v>25</v>
      </c>
    </row>
    <row r="580" spans="1:18" x14ac:dyDescent="0.3">
      <c r="A580" s="21"/>
      <c r="B580" s="24"/>
      <c r="C580" s="2" t="s">
        <v>11</v>
      </c>
      <c r="D580" s="2">
        <v>200</v>
      </c>
      <c r="E580" s="21"/>
      <c r="F580" s="2">
        <v>1728</v>
      </c>
      <c r="G580" s="21"/>
      <c r="H580" s="2">
        <v>0</v>
      </c>
      <c r="I580" s="21"/>
      <c r="J580" s="2">
        <v>0</v>
      </c>
      <c r="K580" s="21"/>
      <c r="L580" s="2">
        <v>144</v>
      </c>
      <c r="M580" s="21"/>
      <c r="N580" s="2">
        <v>0</v>
      </c>
      <c r="O580" s="21"/>
      <c r="P580" s="2">
        <v>0</v>
      </c>
      <c r="Q580" s="21"/>
      <c r="R580" s="21"/>
    </row>
    <row r="581" spans="1:18" x14ac:dyDescent="0.3">
      <c r="A581" s="21"/>
      <c r="B581" s="24"/>
      <c r="C581" s="2" t="s">
        <v>12</v>
      </c>
      <c r="D581" s="2">
        <v>160</v>
      </c>
      <c r="E581" s="21"/>
      <c r="F581" s="2">
        <v>1452</v>
      </c>
      <c r="G581" s="21"/>
      <c r="H581" s="2">
        <v>0</v>
      </c>
      <c r="I581" s="21"/>
      <c r="J581" s="2">
        <v>0</v>
      </c>
      <c r="K581" s="21"/>
      <c r="L581" s="2">
        <v>148</v>
      </c>
      <c r="M581" s="21"/>
      <c r="N581" s="2">
        <v>0</v>
      </c>
      <c r="O581" s="21"/>
      <c r="P581" s="2">
        <v>0</v>
      </c>
      <c r="Q581" s="21"/>
      <c r="R581" s="21"/>
    </row>
    <row r="582" spans="1:18" x14ac:dyDescent="0.3">
      <c r="A582" s="21"/>
      <c r="B582" s="24">
        <v>45217</v>
      </c>
      <c r="C582" s="2" t="s">
        <v>10</v>
      </c>
      <c r="D582" s="2">
        <v>140</v>
      </c>
      <c r="E582" s="22">
        <f>SUM(D582:D1172)-SUM(E585:E1172)</f>
        <v>520</v>
      </c>
      <c r="F582" s="2">
        <v>1920</v>
      </c>
      <c r="G582" s="22">
        <f>SUM(F582:F1172)-SUM(G585:G1172)</f>
        <v>5196</v>
      </c>
      <c r="H582" s="2">
        <v>0</v>
      </c>
      <c r="I582" s="22">
        <f>SUM(H582:H1172)-SUM(I585:I1172)</f>
        <v>0</v>
      </c>
      <c r="J582" s="2">
        <v>0</v>
      </c>
      <c r="K582" s="22">
        <f>SUM(J582:J1172)-SUM(K585:K1172)</f>
        <v>0</v>
      </c>
      <c r="L582" s="2">
        <v>152</v>
      </c>
      <c r="M582" s="22">
        <f>SUM(L582:L1172)-SUM(M585:M1172)</f>
        <v>440</v>
      </c>
      <c r="N582" s="2">
        <v>0</v>
      </c>
      <c r="O582" s="22">
        <f>SUM(N582:N1172)-SUM(O585:O1172)</f>
        <v>0</v>
      </c>
      <c r="P582" s="2">
        <v>0</v>
      </c>
      <c r="Q582" s="22">
        <f>SUM(P582:P1172)-SUM(Q585:Q1172)</f>
        <v>0</v>
      </c>
      <c r="R582" s="21">
        <v>22</v>
      </c>
    </row>
    <row r="583" spans="1:18" x14ac:dyDescent="0.3">
      <c r="A583" s="21"/>
      <c r="B583" s="24"/>
      <c r="C583" s="2" t="s">
        <v>11</v>
      </c>
      <c r="D583" s="2">
        <v>140</v>
      </c>
      <c r="E583" s="21"/>
      <c r="F583" s="2">
        <v>1824</v>
      </c>
      <c r="G583" s="21"/>
      <c r="H583" s="2">
        <v>0</v>
      </c>
      <c r="I583" s="21"/>
      <c r="J583" s="2">
        <v>0</v>
      </c>
      <c r="K583" s="21"/>
      <c r="L583" s="2">
        <v>140</v>
      </c>
      <c r="M583" s="21"/>
      <c r="N583" s="2">
        <v>0</v>
      </c>
      <c r="O583" s="21"/>
      <c r="P583" s="2">
        <v>0</v>
      </c>
      <c r="Q583" s="21"/>
      <c r="R583" s="21"/>
    </row>
    <row r="584" spans="1:18" x14ac:dyDescent="0.3">
      <c r="A584" s="21"/>
      <c r="B584" s="24"/>
      <c r="C584" s="2" t="s">
        <v>12</v>
      </c>
      <c r="D584" s="2">
        <v>240</v>
      </c>
      <c r="E584" s="21"/>
      <c r="F584" s="2">
        <v>1452</v>
      </c>
      <c r="G584" s="21"/>
      <c r="H584" s="2">
        <v>0</v>
      </c>
      <c r="I584" s="21"/>
      <c r="J584" s="2">
        <v>0</v>
      </c>
      <c r="K584" s="21"/>
      <c r="L584" s="2">
        <v>148</v>
      </c>
      <c r="M584" s="21"/>
      <c r="N584" s="2">
        <v>0</v>
      </c>
      <c r="O584" s="21"/>
      <c r="P584" s="2">
        <v>0</v>
      </c>
      <c r="Q584" s="21"/>
      <c r="R584" s="21"/>
    </row>
    <row r="585" spans="1:18" x14ac:dyDescent="0.3">
      <c r="A585" s="21"/>
      <c r="B585" s="24">
        <v>45218</v>
      </c>
      <c r="C585" s="2" t="s">
        <v>10</v>
      </c>
      <c r="D585" s="2">
        <v>140</v>
      </c>
      <c r="E585" s="22">
        <f>SUM(D585:D1175)-SUM(E588:E1175)</f>
        <v>460</v>
      </c>
      <c r="F585" s="2">
        <v>2064</v>
      </c>
      <c r="G585" s="22">
        <f>SUM(F585:F1175)-SUM(G588:G1175)</f>
        <v>5982</v>
      </c>
      <c r="H585" s="2">
        <v>0</v>
      </c>
      <c r="I585" s="22">
        <f>SUM(H585:H1175)-SUM(I588:I1175)</f>
        <v>0</v>
      </c>
      <c r="J585" s="2">
        <v>0</v>
      </c>
      <c r="K585" s="22">
        <f>SUM(J585:J1175)-SUM(K588:K1175)</f>
        <v>0</v>
      </c>
      <c r="L585" s="2">
        <v>152</v>
      </c>
      <c r="M585" s="22">
        <f>SUM(L585:L1175)-SUM(M588:M1175)</f>
        <v>452</v>
      </c>
      <c r="N585" s="2">
        <v>0</v>
      </c>
      <c r="O585" s="22">
        <f>SUM(N585:N1175)-SUM(O588:O1175)</f>
        <v>0</v>
      </c>
      <c r="P585" s="2">
        <v>0</v>
      </c>
      <c r="Q585" s="22">
        <f>SUM(P585:P1175)-SUM(Q588:Q1175)</f>
        <v>0</v>
      </c>
      <c r="R585" s="21">
        <v>20</v>
      </c>
    </row>
    <row r="586" spans="1:18" x14ac:dyDescent="0.3">
      <c r="A586" s="21"/>
      <c r="B586" s="24"/>
      <c r="C586" s="2" t="s">
        <v>11</v>
      </c>
      <c r="D586" s="2">
        <v>140</v>
      </c>
      <c r="E586" s="21"/>
      <c r="F586" s="2">
        <v>2064</v>
      </c>
      <c r="G586" s="21"/>
      <c r="H586" s="2">
        <v>0</v>
      </c>
      <c r="I586" s="21"/>
      <c r="J586" s="2">
        <v>0</v>
      </c>
      <c r="K586" s="21"/>
      <c r="L586" s="2">
        <v>152</v>
      </c>
      <c r="M586" s="21"/>
      <c r="N586" s="2">
        <v>0</v>
      </c>
      <c r="O586" s="21"/>
      <c r="P586" s="2">
        <v>0</v>
      </c>
      <c r="Q586" s="21"/>
      <c r="R586" s="21"/>
    </row>
    <row r="587" spans="1:18" x14ac:dyDescent="0.3">
      <c r="A587" s="21"/>
      <c r="B587" s="24"/>
      <c r="C587" s="2" t="s">
        <v>12</v>
      </c>
      <c r="D587" s="2">
        <v>180</v>
      </c>
      <c r="E587" s="21"/>
      <c r="F587" s="2">
        <v>1854</v>
      </c>
      <c r="G587" s="21"/>
      <c r="H587" s="2">
        <v>0</v>
      </c>
      <c r="I587" s="21"/>
      <c r="J587" s="2">
        <v>0</v>
      </c>
      <c r="K587" s="21"/>
      <c r="L587" s="2">
        <v>148</v>
      </c>
      <c r="M587" s="21"/>
      <c r="N587" s="2">
        <v>0</v>
      </c>
      <c r="O587" s="21"/>
      <c r="P587" s="2">
        <v>0</v>
      </c>
      <c r="Q587" s="21"/>
      <c r="R587" s="21"/>
    </row>
    <row r="588" spans="1:18" x14ac:dyDescent="0.3">
      <c r="A588" s="21"/>
      <c r="B588" s="24">
        <v>45219</v>
      </c>
      <c r="C588" s="2" t="s">
        <v>10</v>
      </c>
      <c r="D588" s="2">
        <v>140</v>
      </c>
      <c r="E588" s="22">
        <f>SUM(D588:D1178)-SUM(E591:E1178)</f>
        <v>780</v>
      </c>
      <c r="F588" s="2">
        <v>1632</v>
      </c>
      <c r="G588" s="22">
        <f>SUM(F588:F1178)-SUM(G591:G1178)</f>
        <v>3700</v>
      </c>
      <c r="H588" s="2">
        <v>0</v>
      </c>
      <c r="I588" s="22">
        <f>SUM(H588:H1178)-SUM(I591:I1178)</f>
        <v>0</v>
      </c>
      <c r="J588" s="2">
        <v>0</v>
      </c>
      <c r="K588" s="22">
        <f>SUM(J588:J1178)-SUM(K591:K1178)</f>
        <v>0</v>
      </c>
      <c r="L588" s="2">
        <v>152</v>
      </c>
      <c r="M588" s="22">
        <f>SUM(L588:L1178)-SUM(M591:M1178)</f>
        <v>452</v>
      </c>
      <c r="N588" s="2">
        <v>0</v>
      </c>
      <c r="O588" s="22">
        <f>SUM(N588:N1178)-SUM(O591:O1178)</f>
        <v>0</v>
      </c>
      <c r="P588" s="2">
        <v>0</v>
      </c>
      <c r="Q588" s="22">
        <f>SUM(P588:P1178)-SUM(Q591:Q1178)</f>
        <v>0</v>
      </c>
      <c r="R588" s="21"/>
    </row>
    <row r="589" spans="1:18" x14ac:dyDescent="0.3">
      <c r="A589" s="21"/>
      <c r="B589" s="24"/>
      <c r="C589" s="2" t="s">
        <v>11</v>
      </c>
      <c r="D589" s="2">
        <v>300</v>
      </c>
      <c r="E589" s="21"/>
      <c r="F589" s="2">
        <v>1144</v>
      </c>
      <c r="G589" s="21"/>
      <c r="H589" s="2">
        <v>0</v>
      </c>
      <c r="I589" s="21"/>
      <c r="J589" s="2">
        <v>0</v>
      </c>
      <c r="K589" s="21"/>
      <c r="L589" s="2">
        <v>152</v>
      </c>
      <c r="M589" s="21"/>
      <c r="N589" s="2">
        <v>0</v>
      </c>
      <c r="O589" s="21"/>
      <c r="P589" s="2">
        <v>0</v>
      </c>
      <c r="Q589" s="21"/>
      <c r="R589" s="21"/>
    </row>
    <row r="590" spans="1:18" x14ac:dyDescent="0.3">
      <c r="A590" s="21"/>
      <c r="B590" s="24"/>
      <c r="C590" s="2" t="s">
        <v>12</v>
      </c>
      <c r="D590" s="2">
        <v>340</v>
      </c>
      <c r="E590" s="21"/>
      <c r="F590" s="2">
        <v>924</v>
      </c>
      <c r="G590" s="21"/>
      <c r="H590" s="2">
        <v>0</v>
      </c>
      <c r="I590" s="21"/>
      <c r="J590" s="2">
        <v>0</v>
      </c>
      <c r="K590" s="21"/>
      <c r="L590" s="2">
        <v>148</v>
      </c>
      <c r="M590" s="21"/>
      <c r="N590" s="2">
        <v>0</v>
      </c>
      <c r="O590" s="21"/>
      <c r="P590" s="2">
        <v>0</v>
      </c>
      <c r="Q590" s="21"/>
      <c r="R590" s="21"/>
    </row>
    <row r="591" spans="1:18" x14ac:dyDescent="0.3">
      <c r="A591" s="21"/>
      <c r="B591" s="24">
        <v>45220</v>
      </c>
      <c r="C591" s="2" t="s">
        <v>10</v>
      </c>
      <c r="D591" s="2">
        <v>300</v>
      </c>
      <c r="E591" s="22">
        <f>SUM(D591:D1181)-SUM(E594:E1181)</f>
        <v>940</v>
      </c>
      <c r="F591" s="2">
        <v>1440</v>
      </c>
      <c r="G591" s="22">
        <f>SUM(F591:F1181)-SUM(G594:G1181)</f>
        <v>4320</v>
      </c>
      <c r="H591" s="2">
        <v>0</v>
      </c>
      <c r="I591" s="22">
        <f>SUM(H591:H1181)-SUM(I594:I1181)</f>
        <v>0</v>
      </c>
      <c r="J591" s="2">
        <v>0</v>
      </c>
      <c r="K591" s="22">
        <f>SUM(J591:J1181)-SUM(K594:K1181)</f>
        <v>0</v>
      </c>
      <c r="L591" s="2">
        <v>152</v>
      </c>
      <c r="M591" s="22">
        <f>SUM(L591:L1181)-SUM(M594:M1181)</f>
        <v>456</v>
      </c>
      <c r="N591" s="2">
        <v>0</v>
      </c>
      <c r="O591" s="22">
        <f>SUM(N591:N1181)-SUM(O594:O1181)</f>
        <v>0</v>
      </c>
      <c r="P591" s="2">
        <v>0</v>
      </c>
      <c r="Q591" s="22">
        <f>SUM(P591:P1181)-SUM(Q594:Q1181)</f>
        <v>0</v>
      </c>
      <c r="R591" s="21"/>
    </row>
    <row r="592" spans="1:18" x14ac:dyDescent="0.3">
      <c r="A592" s="21"/>
      <c r="B592" s="24"/>
      <c r="C592" s="2" t="s">
        <v>11</v>
      </c>
      <c r="D592" s="2">
        <v>300</v>
      </c>
      <c r="E592" s="21"/>
      <c r="F592" s="2">
        <v>1440</v>
      </c>
      <c r="G592" s="21"/>
      <c r="H592" s="2">
        <v>0</v>
      </c>
      <c r="I592" s="21"/>
      <c r="J592" s="2">
        <v>0</v>
      </c>
      <c r="K592" s="21"/>
      <c r="L592" s="2">
        <v>152</v>
      </c>
      <c r="M592" s="21"/>
      <c r="N592" s="2">
        <v>0</v>
      </c>
      <c r="O592" s="21"/>
      <c r="P592" s="2">
        <v>0</v>
      </c>
      <c r="Q592" s="21"/>
      <c r="R592" s="21"/>
    </row>
    <row r="593" spans="1:18" x14ac:dyDescent="0.3">
      <c r="A593" s="21"/>
      <c r="B593" s="24"/>
      <c r="C593" s="2" t="s">
        <v>12</v>
      </c>
      <c r="D593" s="2">
        <v>340</v>
      </c>
      <c r="E593" s="21"/>
      <c r="F593" s="2">
        <v>1440</v>
      </c>
      <c r="G593" s="21"/>
      <c r="H593" s="2">
        <v>0</v>
      </c>
      <c r="I593" s="21"/>
      <c r="J593" s="2">
        <v>0</v>
      </c>
      <c r="K593" s="21"/>
      <c r="L593" s="2">
        <v>152</v>
      </c>
      <c r="M593" s="21"/>
      <c r="N593" s="2">
        <v>0</v>
      </c>
      <c r="O593" s="21"/>
      <c r="P593" s="2">
        <v>0</v>
      </c>
      <c r="Q593" s="21"/>
      <c r="R593" s="21"/>
    </row>
    <row r="594" spans="1:18" x14ac:dyDescent="0.3">
      <c r="A594" s="21"/>
      <c r="B594" s="24">
        <v>45221</v>
      </c>
      <c r="C594" s="2" t="s">
        <v>10</v>
      </c>
      <c r="D594" s="2">
        <v>300</v>
      </c>
      <c r="E594" s="22">
        <f>SUM(D594:D1184)-SUM(E597:E1184)</f>
        <v>900</v>
      </c>
      <c r="F594" s="2">
        <v>1440</v>
      </c>
      <c r="G594" s="22">
        <f>SUM(F594:F1184)-SUM(G597:G1184)</f>
        <v>3960</v>
      </c>
      <c r="H594" s="2">
        <v>0</v>
      </c>
      <c r="I594" s="22">
        <f>SUM(H594:H1184)-SUM(I597:I1184)</f>
        <v>0</v>
      </c>
      <c r="J594" s="2">
        <v>0</v>
      </c>
      <c r="K594" s="22">
        <f>SUM(J594:J1184)-SUM(K597:K1184)</f>
        <v>0</v>
      </c>
      <c r="L594" s="2">
        <v>152</v>
      </c>
      <c r="M594" s="22">
        <f>SUM(L594:L1184)-SUM(M597:M1184)</f>
        <v>452</v>
      </c>
      <c r="N594" s="2">
        <v>0</v>
      </c>
      <c r="O594" s="22">
        <f>SUM(N594:N1184)-SUM(O597:O1184)</f>
        <v>0</v>
      </c>
      <c r="P594" s="2">
        <v>0</v>
      </c>
      <c r="Q594" s="22">
        <f>SUM(P594:P1184)-SUM(Q597:Q1184)</f>
        <v>0</v>
      </c>
      <c r="R594" s="21"/>
    </row>
    <row r="595" spans="1:18" x14ac:dyDescent="0.3">
      <c r="A595" s="21"/>
      <c r="B595" s="24"/>
      <c r="C595" s="2" t="s">
        <v>11</v>
      </c>
      <c r="D595" s="2">
        <v>300</v>
      </c>
      <c r="E595" s="21"/>
      <c r="F595" s="2">
        <v>1440</v>
      </c>
      <c r="G595" s="21"/>
      <c r="H595" s="2">
        <v>0</v>
      </c>
      <c r="I595" s="21"/>
      <c r="J595" s="2">
        <v>0</v>
      </c>
      <c r="K595" s="21"/>
      <c r="L595" s="2">
        <v>152</v>
      </c>
      <c r="M595" s="21"/>
      <c r="N595" s="2">
        <v>0</v>
      </c>
      <c r="O595" s="21"/>
      <c r="P595" s="2">
        <v>0</v>
      </c>
      <c r="Q595" s="21"/>
      <c r="R595" s="21"/>
    </row>
    <row r="596" spans="1:18" x14ac:dyDescent="0.3">
      <c r="A596" s="21"/>
      <c r="B596" s="24"/>
      <c r="C596" s="2" t="s">
        <v>12</v>
      </c>
      <c r="D596" s="2">
        <v>300</v>
      </c>
      <c r="E596" s="21"/>
      <c r="F596" s="2">
        <v>1080</v>
      </c>
      <c r="G596" s="21"/>
      <c r="H596" s="2">
        <v>0</v>
      </c>
      <c r="I596" s="21"/>
      <c r="J596" s="2">
        <v>0</v>
      </c>
      <c r="K596" s="21"/>
      <c r="L596" s="2">
        <v>148</v>
      </c>
      <c r="M596" s="21"/>
      <c r="N596" s="2">
        <v>0</v>
      </c>
      <c r="O596" s="21"/>
      <c r="P596" s="2">
        <v>0</v>
      </c>
      <c r="Q596" s="21"/>
      <c r="R596" s="21"/>
    </row>
    <row r="597" spans="1:18" x14ac:dyDescent="0.3">
      <c r="A597" s="21"/>
      <c r="B597" s="24">
        <v>45222</v>
      </c>
      <c r="C597" s="2" t="s">
        <v>10</v>
      </c>
      <c r="D597" s="2">
        <v>340</v>
      </c>
      <c r="E597" s="22">
        <f>SUM(D597:D1187)-SUM(E600:E1187)</f>
        <v>820</v>
      </c>
      <c r="F597" s="2">
        <v>1296</v>
      </c>
      <c r="G597" s="22">
        <f>SUM(F597:F1187)-SUM(G600:G1187)</f>
        <v>3840</v>
      </c>
      <c r="H597" s="2">
        <v>0</v>
      </c>
      <c r="I597" s="22">
        <f>SUM(H597:H1187)-SUM(I600:I1187)</f>
        <v>0</v>
      </c>
      <c r="J597" s="2">
        <v>0</v>
      </c>
      <c r="K597" s="22">
        <f>SUM(J597:J1187)-SUM(K600:K1187)</f>
        <v>0</v>
      </c>
      <c r="L597" s="2">
        <v>126</v>
      </c>
      <c r="M597" s="22">
        <f>SUM(L597:L1187)-SUM(M600:M1187)</f>
        <v>430</v>
      </c>
      <c r="N597" s="2">
        <v>0</v>
      </c>
      <c r="O597" s="22">
        <f>SUM(N597:N1187)-SUM(O600:O1187)</f>
        <v>0</v>
      </c>
      <c r="P597" s="2">
        <v>0</v>
      </c>
      <c r="Q597" s="22">
        <f>SUM(P597:P1187)-SUM(Q600:Q1187)</f>
        <v>0</v>
      </c>
      <c r="R597" s="21"/>
    </row>
    <row r="598" spans="1:18" x14ac:dyDescent="0.3">
      <c r="A598" s="21"/>
      <c r="B598" s="24"/>
      <c r="C598" s="2" t="s">
        <v>11</v>
      </c>
      <c r="D598" s="2">
        <v>340</v>
      </c>
      <c r="E598" s="21"/>
      <c r="F598" s="2">
        <v>1200</v>
      </c>
      <c r="G598" s="21"/>
      <c r="H598" s="2">
        <v>0</v>
      </c>
      <c r="I598" s="21"/>
      <c r="J598" s="2">
        <v>0</v>
      </c>
      <c r="K598" s="21"/>
      <c r="L598" s="2">
        <v>152</v>
      </c>
      <c r="M598" s="21"/>
      <c r="N598" s="2">
        <v>0</v>
      </c>
      <c r="O598" s="21"/>
      <c r="P598" s="2">
        <v>0</v>
      </c>
      <c r="Q598" s="21"/>
      <c r="R598" s="21"/>
    </row>
    <row r="599" spans="1:18" x14ac:dyDescent="0.3">
      <c r="A599" s="21"/>
      <c r="B599" s="24"/>
      <c r="C599" s="2" t="s">
        <v>12</v>
      </c>
      <c r="D599" s="2">
        <v>140</v>
      </c>
      <c r="E599" s="21"/>
      <c r="F599" s="2">
        <v>1344</v>
      </c>
      <c r="G599" s="21"/>
      <c r="H599" s="2">
        <v>0</v>
      </c>
      <c r="I599" s="21"/>
      <c r="J599" s="2">
        <v>0</v>
      </c>
      <c r="K599" s="21"/>
      <c r="L599" s="2">
        <v>152</v>
      </c>
      <c r="M599" s="21"/>
      <c r="N599" s="2">
        <v>0</v>
      </c>
      <c r="O599" s="21"/>
      <c r="P599" s="2">
        <v>0</v>
      </c>
      <c r="Q599" s="21"/>
      <c r="R599" s="21"/>
    </row>
    <row r="600" spans="1:18" x14ac:dyDescent="0.3">
      <c r="A600" s="21"/>
      <c r="B600" s="24">
        <v>45223</v>
      </c>
      <c r="C600" s="2" t="s">
        <v>10</v>
      </c>
      <c r="D600" s="2">
        <v>300</v>
      </c>
      <c r="E600" s="22">
        <f>SUM(D600:D1190)-SUM(E603:E1190)</f>
        <v>740</v>
      </c>
      <c r="F600" s="2">
        <v>1200</v>
      </c>
      <c r="G600" s="22">
        <f>SUM(F600:F1190)-SUM(G603:G1190)</f>
        <v>3966</v>
      </c>
      <c r="H600" s="2">
        <v>0</v>
      </c>
      <c r="I600" s="22">
        <f>SUM(H600:H1190)-SUM(I603:I1190)</f>
        <v>0</v>
      </c>
      <c r="J600" s="2">
        <v>0</v>
      </c>
      <c r="K600" s="22">
        <f>SUM(J600:J1190)-SUM(K603:K1190)</f>
        <v>0</v>
      </c>
      <c r="L600" s="2">
        <v>152</v>
      </c>
      <c r="M600" s="22">
        <f>SUM(L600:L1190)-SUM(M603:M1190)</f>
        <v>456</v>
      </c>
      <c r="N600" s="2">
        <v>0</v>
      </c>
      <c r="O600" s="22">
        <f>SUM(N600:N1190)-SUM(O603:O1190)</f>
        <v>0</v>
      </c>
      <c r="P600" s="2">
        <v>0</v>
      </c>
      <c r="Q600" s="22">
        <f>SUM(P600:P1190)-SUM(Q603:Q1190)</f>
        <v>0</v>
      </c>
      <c r="R600" s="21">
        <v>18</v>
      </c>
    </row>
    <row r="601" spans="1:18" x14ac:dyDescent="0.3">
      <c r="A601" s="21"/>
      <c r="B601" s="24"/>
      <c r="C601" s="2" t="s">
        <v>11</v>
      </c>
      <c r="D601" s="2">
        <v>300</v>
      </c>
      <c r="E601" s="21"/>
      <c r="F601" s="2">
        <v>1200</v>
      </c>
      <c r="G601" s="21"/>
      <c r="H601" s="2">
        <v>0</v>
      </c>
      <c r="I601" s="21"/>
      <c r="J601" s="2">
        <v>0</v>
      </c>
      <c r="K601" s="21"/>
      <c r="L601" s="2">
        <v>152</v>
      </c>
      <c r="M601" s="21"/>
      <c r="N601" s="2">
        <v>0</v>
      </c>
      <c r="O601" s="21"/>
      <c r="P601" s="2">
        <v>0</v>
      </c>
      <c r="Q601" s="21"/>
      <c r="R601" s="21"/>
    </row>
    <row r="602" spans="1:18" x14ac:dyDescent="0.3">
      <c r="A602" s="21"/>
      <c r="B602" s="24"/>
      <c r="C602" s="2" t="s">
        <v>12</v>
      </c>
      <c r="D602" s="2">
        <v>140</v>
      </c>
      <c r="E602" s="21"/>
      <c r="F602" s="2">
        <v>1566</v>
      </c>
      <c r="G602" s="21"/>
      <c r="H602" s="2">
        <v>0</v>
      </c>
      <c r="I602" s="21"/>
      <c r="J602" s="2">
        <v>0</v>
      </c>
      <c r="K602" s="21"/>
      <c r="L602" s="2">
        <v>152</v>
      </c>
      <c r="M602" s="21"/>
      <c r="N602" s="2">
        <v>0</v>
      </c>
      <c r="O602" s="21"/>
      <c r="P602" s="2">
        <v>0</v>
      </c>
      <c r="Q602" s="21"/>
      <c r="R602" s="21"/>
    </row>
    <row r="603" spans="1:18" x14ac:dyDescent="0.3">
      <c r="A603" s="21"/>
      <c r="B603" s="24">
        <v>45224</v>
      </c>
      <c r="C603" s="2" t="s">
        <v>10</v>
      </c>
      <c r="D603" s="2">
        <v>140</v>
      </c>
      <c r="E603" s="22">
        <f>SUM(D603:D1193)-SUM(E606:E1193)</f>
        <v>420</v>
      </c>
      <c r="F603" s="2">
        <v>1584</v>
      </c>
      <c r="G603" s="22">
        <f>SUM(F603:F1193)-SUM(G606:G1193)</f>
        <v>4744</v>
      </c>
      <c r="H603" s="2">
        <v>0</v>
      </c>
      <c r="I603" s="22">
        <f>SUM(H603:H1193)-SUM(I606:I1193)</f>
        <v>0</v>
      </c>
      <c r="J603" s="2">
        <v>0</v>
      </c>
      <c r="K603" s="22">
        <f>SUM(J603:J1193)-SUM(K606:K1193)</f>
        <v>0</v>
      </c>
      <c r="L603" s="2">
        <v>152</v>
      </c>
      <c r="M603" s="22">
        <f>SUM(L603:L1193)-SUM(M606:M1193)</f>
        <v>472</v>
      </c>
      <c r="N603" s="2">
        <v>0</v>
      </c>
      <c r="O603" s="22">
        <f>SUM(N603:N1193)-SUM(O606:O1193)</f>
        <v>0</v>
      </c>
      <c r="P603" s="2">
        <v>0</v>
      </c>
      <c r="Q603" s="22">
        <f>SUM(P603:P1193)-SUM(Q606:Q1193)</f>
        <v>0</v>
      </c>
      <c r="R603" s="21">
        <v>20</v>
      </c>
    </row>
    <row r="604" spans="1:18" x14ac:dyDescent="0.3">
      <c r="A604" s="21"/>
      <c r="B604" s="24"/>
      <c r="C604" s="2" t="s">
        <v>11</v>
      </c>
      <c r="D604" s="2">
        <v>140</v>
      </c>
      <c r="E604" s="21"/>
      <c r="F604" s="2">
        <v>1580</v>
      </c>
      <c r="G604" s="21"/>
      <c r="H604" s="2">
        <v>0</v>
      </c>
      <c r="I604" s="21"/>
      <c r="J604" s="2">
        <v>0</v>
      </c>
      <c r="K604" s="21"/>
      <c r="L604" s="2">
        <v>168</v>
      </c>
      <c r="M604" s="21"/>
      <c r="N604" s="2">
        <v>0</v>
      </c>
      <c r="O604" s="21"/>
      <c r="P604" s="2">
        <v>0</v>
      </c>
      <c r="Q604" s="21"/>
      <c r="R604" s="21"/>
    </row>
    <row r="605" spans="1:18" x14ac:dyDescent="0.3">
      <c r="A605" s="21"/>
      <c r="B605" s="24"/>
      <c r="C605" s="2" t="s">
        <v>12</v>
      </c>
      <c r="D605" s="2">
        <v>140</v>
      </c>
      <c r="E605" s="21"/>
      <c r="F605" s="2">
        <v>1580</v>
      </c>
      <c r="G605" s="21"/>
      <c r="H605" s="2">
        <v>0</v>
      </c>
      <c r="I605" s="21"/>
      <c r="J605" s="2">
        <v>0</v>
      </c>
      <c r="K605" s="21"/>
      <c r="L605" s="2">
        <v>152</v>
      </c>
      <c r="M605" s="21"/>
      <c r="N605" s="2">
        <v>0</v>
      </c>
      <c r="O605" s="21"/>
      <c r="P605" s="2">
        <v>0</v>
      </c>
      <c r="Q605" s="21"/>
      <c r="R605" s="21"/>
    </row>
    <row r="606" spans="1:18" x14ac:dyDescent="0.3">
      <c r="A606" s="21"/>
      <c r="B606" s="24">
        <v>45225</v>
      </c>
      <c r="C606" s="2" t="s">
        <v>10</v>
      </c>
      <c r="D606" s="2">
        <v>120</v>
      </c>
      <c r="E606" s="22">
        <f>SUM(D606:D1196)-SUM(E609:E1196)</f>
        <v>440</v>
      </c>
      <c r="F606" s="2">
        <v>1584</v>
      </c>
      <c r="G606" s="22">
        <f>SUM(F606:F1196)-SUM(G609:G1196)</f>
        <v>4968</v>
      </c>
      <c r="H606" s="2">
        <v>0</v>
      </c>
      <c r="I606" s="22">
        <f>SUM(H606:H1196)-SUM(I609:I1196)</f>
        <v>0</v>
      </c>
      <c r="J606" s="2">
        <v>0</v>
      </c>
      <c r="K606" s="22">
        <f>SUM(J606:J1196)-SUM(K609:K1196)</f>
        <v>0</v>
      </c>
      <c r="L606" s="2">
        <v>152</v>
      </c>
      <c r="M606" s="22">
        <f>SUM(L606:L1196)-SUM(M609:M1196)</f>
        <v>456</v>
      </c>
      <c r="N606" s="2">
        <v>0</v>
      </c>
      <c r="O606" s="22">
        <f>SUM(N606:N1196)-SUM(O609:O1196)</f>
        <v>0</v>
      </c>
      <c r="P606" s="2">
        <v>0</v>
      </c>
      <c r="Q606" s="22">
        <f>SUM(P606:P1196)-SUM(Q609:Q1196)</f>
        <v>0</v>
      </c>
      <c r="R606" s="21">
        <v>16</v>
      </c>
    </row>
    <row r="607" spans="1:18" x14ac:dyDescent="0.3">
      <c r="A607" s="21"/>
      <c r="B607" s="24"/>
      <c r="C607" s="2" t="s">
        <v>11</v>
      </c>
      <c r="D607" s="2">
        <v>180</v>
      </c>
      <c r="E607" s="21"/>
      <c r="F607" s="2">
        <v>1800</v>
      </c>
      <c r="G607" s="21"/>
      <c r="H607" s="2">
        <v>0</v>
      </c>
      <c r="I607" s="21"/>
      <c r="J607" s="2">
        <v>0</v>
      </c>
      <c r="K607" s="21"/>
      <c r="L607" s="2">
        <v>152</v>
      </c>
      <c r="M607" s="21"/>
      <c r="N607" s="2">
        <v>0</v>
      </c>
      <c r="O607" s="21"/>
      <c r="P607" s="2">
        <v>0</v>
      </c>
      <c r="Q607" s="21"/>
      <c r="R607" s="21"/>
    </row>
    <row r="608" spans="1:18" x14ac:dyDescent="0.3">
      <c r="A608" s="21"/>
      <c r="B608" s="24"/>
      <c r="C608" s="2" t="s">
        <v>12</v>
      </c>
      <c r="D608" s="2">
        <v>140</v>
      </c>
      <c r="E608" s="21"/>
      <c r="F608" s="2">
        <v>1584</v>
      </c>
      <c r="G608" s="21"/>
      <c r="H608" s="2">
        <v>0</v>
      </c>
      <c r="I608" s="21"/>
      <c r="J608" s="2">
        <v>0</v>
      </c>
      <c r="K608" s="21"/>
      <c r="L608" s="2">
        <v>152</v>
      </c>
      <c r="M608" s="21"/>
      <c r="N608" s="2">
        <v>0</v>
      </c>
      <c r="O608" s="21"/>
      <c r="P608" s="2">
        <v>0</v>
      </c>
      <c r="Q608" s="21"/>
      <c r="R608" s="21"/>
    </row>
    <row r="609" spans="1:18" x14ac:dyDescent="0.3">
      <c r="A609" s="21"/>
      <c r="B609" s="24">
        <v>45226</v>
      </c>
      <c r="C609" s="2" t="s">
        <v>10</v>
      </c>
      <c r="D609" s="2">
        <v>120</v>
      </c>
      <c r="E609" s="22">
        <f>SUM(D609:D1199)-SUM(E612:E1199)</f>
        <v>1100</v>
      </c>
      <c r="F609" s="2">
        <v>1392</v>
      </c>
      <c r="G609" s="22">
        <f>SUM(F609:F1199)-SUM(G612:G1199)</f>
        <v>2736</v>
      </c>
      <c r="H609" s="2">
        <v>0</v>
      </c>
      <c r="I609" s="22">
        <f>SUM(H609:H1199)-SUM(I612:I1199)</f>
        <v>0</v>
      </c>
      <c r="J609" s="2">
        <v>0</v>
      </c>
      <c r="K609" s="22">
        <f>SUM(J609:J1199)-SUM(K612:K1199)</f>
        <v>0</v>
      </c>
      <c r="L609" s="2">
        <v>152</v>
      </c>
      <c r="M609" s="22">
        <f>SUM(L609:L1199)-SUM(M612:M1199)</f>
        <v>456</v>
      </c>
      <c r="N609" s="2">
        <v>0</v>
      </c>
      <c r="O609" s="22">
        <f>SUM(N609:N1199)-SUM(O612:O1199)</f>
        <v>0</v>
      </c>
      <c r="P609" s="2">
        <v>0</v>
      </c>
      <c r="Q609" s="22">
        <f>SUM(P609:P1199)-SUM(Q612:Q1199)</f>
        <v>0</v>
      </c>
      <c r="R609" s="21">
        <v>15</v>
      </c>
    </row>
    <row r="610" spans="1:18" x14ac:dyDescent="0.3">
      <c r="A610" s="21"/>
      <c r="B610" s="24"/>
      <c r="C610" s="2" t="s">
        <v>11</v>
      </c>
      <c r="D610" s="2">
        <v>580</v>
      </c>
      <c r="E610" s="21"/>
      <c r="F610" s="2">
        <v>672</v>
      </c>
      <c r="G610" s="21"/>
      <c r="H610" s="2">
        <v>0</v>
      </c>
      <c r="I610" s="21"/>
      <c r="J610" s="2">
        <v>0</v>
      </c>
      <c r="K610" s="21"/>
      <c r="L610" s="2">
        <v>152</v>
      </c>
      <c r="M610" s="21"/>
      <c r="N610" s="2">
        <v>0</v>
      </c>
      <c r="O610" s="21"/>
      <c r="P610" s="2">
        <v>0</v>
      </c>
      <c r="Q610" s="21"/>
      <c r="R610" s="21"/>
    </row>
    <row r="611" spans="1:18" x14ac:dyDescent="0.3">
      <c r="A611" s="21"/>
      <c r="B611" s="24"/>
      <c r="C611" s="2" t="s">
        <v>12</v>
      </c>
      <c r="D611" s="2">
        <v>400</v>
      </c>
      <c r="E611" s="21"/>
      <c r="F611" s="2">
        <v>672</v>
      </c>
      <c r="G611" s="21"/>
      <c r="H611" s="2">
        <v>0</v>
      </c>
      <c r="I611" s="21"/>
      <c r="J611" s="2">
        <v>0</v>
      </c>
      <c r="K611" s="21"/>
      <c r="L611" s="2">
        <v>152</v>
      </c>
      <c r="M611" s="21"/>
      <c r="N611" s="2">
        <v>0</v>
      </c>
      <c r="O611" s="21"/>
      <c r="P611" s="2">
        <v>0</v>
      </c>
      <c r="Q611" s="21"/>
      <c r="R611" s="21"/>
    </row>
    <row r="612" spans="1:18" x14ac:dyDescent="0.3">
      <c r="A612" s="21"/>
      <c r="B612" s="24">
        <v>45227</v>
      </c>
      <c r="C612" s="2" t="s">
        <v>10</v>
      </c>
      <c r="D612" s="2">
        <v>460</v>
      </c>
      <c r="E612" s="22">
        <f>SUM(D612:D1202)-SUM(E615:E1202)</f>
        <v>1812</v>
      </c>
      <c r="F612" s="2">
        <v>672</v>
      </c>
      <c r="G612" s="22">
        <f>SUM(F612:F1202)-SUM(G615:G1202)</f>
        <v>1728</v>
      </c>
      <c r="H612" s="2">
        <v>0</v>
      </c>
      <c r="I612" s="22">
        <f>SUM(H612:H1202)-SUM(I615:I1202)</f>
        <v>0</v>
      </c>
      <c r="J612" s="2">
        <v>0</v>
      </c>
      <c r="K612" s="22">
        <f>SUM(J612:J1202)-SUM(K615:K1202)</f>
        <v>0</v>
      </c>
      <c r="L612" s="2">
        <v>118</v>
      </c>
      <c r="M612" s="22">
        <f>SUM(L612:L1202)-SUM(M615:M1202)</f>
        <v>382</v>
      </c>
      <c r="N612" s="2">
        <v>0</v>
      </c>
      <c r="O612" s="22">
        <f>SUM(N612:N1202)-SUM(O615:O1202)</f>
        <v>0</v>
      </c>
      <c r="P612" s="2">
        <v>0</v>
      </c>
      <c r="Q612" s="22">
        <f>SUM(P612:P1202)-SUM(Q615:Q1202)</f>
        <v>0</v>
      </c>
      <c r="R612" s="21">
        <v>12</v>
      </c>
    </row>
    <row r="613" spans="1:18" x14ac:dyDescent="0.3">
      <c r="A613" s="21"/>
      <c r="B613" s="24"/>
      <c r="C613" s="2" t="s">
        <v>11</v>
      </c>
      <c r="D613" s="2">
        <v>680</v>
      </c>
      <c r="E613" s="21"/>
      <c r="F613" s="2">
        <v>384</v>
      </c>
      <c r="G613" s="21"/>
      <c r="H613" s="2">
        <v>0</v>
      </c>
      <c r="I613" s="21"/>
      <c r="J613" s="2">
        <v>0</v>
      </c>
      <c r="K613" s="21"/>
      <c r="L613" s="2">
        <v>132</v>
      </c>
      <c r="M613" s="21"/>
      <c r="N613" s="2">
        <v>0</v>
      </c>
      <c r="O613" s="21"/>
      <c r="P613" s="2">
        <v>0</v>
      </c>
      <c r="Q613" s="21"/>
      <c r="R613" s="21"/>
    </row>
    <row r="614" spans="1:18" x14ac:dyDescent="0.3">
      <c r="A614" s="21"/>
      <c r="B614" s="24"/>
      <c r="C614" s="2" t="s">
        <v>12</v>
      </c>
      <c r="D614" s="2">
        <v>672</v>
      </c>
      <c r="E614" s="21"/>
      <c r="F614" s="2">
        <v>672</v>
      </c>
      <c r="G614" s="21"/>
      <c r="H614" s="2">
        <v>0</v>
      </c>
      <c r="I614" s="21"/>
      <c r="J614" s="2">
        <v>0</v>
      </c>
      <c r="K614" s="21"/>
      <c r="L614" s="2">
        <v>132</v>
      </c>
      <c r="M614" s="21"/>
      <c r="N614" s="2">
        <v>0</v>
      </c>
      <c r="O614" s="21"/>
      <c r="P614" s="2">
        <v>0</v>
      </c>
      <c r="Q614" s="21"/>
      <c r="R614" s="21"/>
    </row>
    <row r="615" spans="1:18" x14ac:dyDescent="0.3">
      <c r="A615" s="21"/>
      <c r="B615" s="24">
        <v>45228</v>
      </c>
      <c r="C615" s="2" t="s">
        <v>10</v>
      </c>
      <c r="D615" s="2">
        <v>384</v>
      </c>
      <c r="E615" s="22">
        <f>SUM(D615:D1205)-SUM(E618:E1205)</f>
        <v>1440</v>
      </c>
      <c r="F615" s="2">
        <v>480</v>
      </c>
      <c r="G615" s="22">
        <f>SUM(F615:F1205)-SUM(G618:G1205)</f>
        <v>1720</v>
      </c>
      <c r="H615" s="2">
        <v>0</v>
      </c>
      <c r="I615" s="22">
        <f>SUM(H615:H1205)-SUM(I618:I1205)</f>
        <v>0</v>
      </c>
      <c r="J615" s="2">
        <v>0</v>
      </c>
      <c r="K615" s="22">
        <f>SUM(J615:J1205)-SUM(K618:K1205)</f>
        <v>0</v>
      </c>
      <c r="L615" s="2">
        <v>152</v>
      </c>
      <c r="M615" s="22">
        <f>SUM(L615:L1205)-SUM(M618:M1205)</f>
        <v>456</v>
      </c>
      <c r="N615" s="2">
        <v>0</v>
      </c>
      <c r="O615" s="22">
        <f>SUM(N615:N1205)-SUM(O618:O1205)</f>
        <v>0</v>
      </c>
      <c r="P615" s="2">
        <v>0</v>
      </c>
      <c r="Q615" s="22">
        <f>SUM(P615:P1205)-SUM(Q618:Q1205)</f>
        <v>0</v>
      </c>
      <c r="R615" s="21"/>
    </row>
    <row r="616" spans="1:18" x14ac:dyDescent="0.3">
      <c r="A616" s="21"/>
      <c r="B616" s="24"/>
      <c r="C616" s="2" t="s">
        <v>11</v>
      </c>
      <c r="D616" s="2">
        <v>384</v>
      </c>
      <c r="E616" s="21"/>
      <c r="F616" s="2">
        <v>700</v>
      </c>
      <c r="G616" s="21"/>
      <c r="H616" s="2">
        <v>0</v>
      </c>
      <c r="I616" s="21"/>
      <c r="J616" s="2">
        <v>0</v>
      </c>
      <c r="K616" s="21"/>
      <c r="L616" s="2">
        <v>152</v>
      </c>
      <c r="M616" s="21"/>
      <c r="N616" s="2">
        <v>0</v>
      </c>
      <c r="O616" s="21"/>
      <c r="P616" s="2">
        <v>0</v>
      </c>
      <c r="Q616" s="21"/>
      <c r="R616" s="21"/>
    </row>
    <row r="617" spans="1:18" x14ac:dyDescent="0.3">
      <c r="A617" s="21"/>
      <c r="B617" s="24"/>
      <c r="C617" s="2" t="s">
        <v>12</v>
      </c>
      <c r="D617" s="2">
        <v>672</v>
      </c>
      <c r="E617" s="21"/>
      <c r="F617" s="2">
        <v>540</v>
      </c>
      <c r="G617" s="21"/>
      <c r="H617" s="2">
        <v>0</v>
      </c>
      <c r="I617" s="21"/>
      <c r="J617" s="2">
        <v>0</v>
      </c>
      <c r="K617" s="21"/>
      <c r="L617" s="2">
        <v>152</v>
      </c>
      <c r="M617" s="21"/>
      <c r="N617" s="2">
        <v>0</v>
      </c>
      <c r="O617" s="21"/>
      <c r="P617" s="2">
        <v>0</v>
      </c>
      <c r="Q617" s="21"/>
      <c r="R617" s="21"/>
    </row>
    <row r="618" spans="1:18" x14ac:dyDescent="0.3">
      <c r="A618" s="21"/>
      <c r="B618" s="24">
        <v>45229</v>
      </c>
      <c r="C618" s="2" t="s">
        <v>10</v>
      </c>
      <c r="D618" s="2">
        <v>700</v>
      </c>
      <c r="E618" s="22">
        <f>SUM(D618:D1208)-SUM(E621:E1208)</f>
        <v>1960</v>
      </c>
      <c r="F618" s="2">
        <v>384</v>
      </c>
      <c r="G618" s="22">
        <f>SUM(F618:F1208)-SUM(G621:G1208)</f>
        <v>1152</v>
      </c>
      <c r="H618" s="2">
        <v>0</v>
      </c>
      <c r="I618" s="22">
        <f>SUM(H618:H1208)-SUM(I621:I1208)</f>
        <v>0</v>
      </c>
      <c r="J618" s="2">
        <v>0</v>
      </c>
      <c r="K618" s="22">
        <f>SUM(J618:J1208)-SUM(K621:K1208)</f>
        <v>0</v>
      </c>
      <c r="L618" s="2">
        <v>152</v>
      </c>
      <c r="M618" s="22">
        <f>SUM(L618:L1208)-SUM(M621:M1208)</f>
        <v>456</v>
      </c>
      <c r="N618" s="2">
        <v>0</v>
      </c>
      <c r="O618" s="22">
        <f>SUM(N618:N1208)-SUM(O621:O1208)</f>
        <v>0</v>
      </c>
      <c r="P618" s="2">
        <v>0</v>
      </c>
      <c r="Q618" s="22">
        <f>SUM(P618:P1208)-SUM(Q621:Q1208)</f>
        <v>0</v>
      </c>
      <c r="R618" s="21"/>
    </row>
    <row r="619" spans="1:18" x14ac:dyDescent="0.3">
      <c r="A619" s="21"/>
      <c r="B619" s="24"/>
      <c r="C619" s="2" t="s">
        <v>11</v>
      </c>
      <c r="D619" s="2">
        <v>700</v>
      </c>
      <c r="E619" s="21"/>
      <c r="F619" s="2">
        <v>384</v>
      </c>
      <c r="G619" s="21"/>
      <c r="H619" s="2">
        <v>0</v>
      </c>
      <c r="I619" s="21"/>
      <c r="J619" s="2">
        <v>0</v>
      </c>
      <c r="K619" s="21"/>
      <c r="L619" s="2">
        <v>152</v>
      </c>
      <c r="M619" s="21"/>
      <c r="N619" s="2">
        <v>0</v>
      </c>
      <c r="O619" s="21"/>
      <c r="P619" s="2">
        <v>0</v>
      </c>
      <c r="Q619" s="21"/>
      <c r="R619" s="21"/>
    </row>
    <row r="620" spans="1:18" x14ac:dyDescent="0.3">
      <c r="A620" s="21"/>
      <c r="B620" s="24"/>
      <c r="C620" s="2" t="s">
        <v>12</v>
      </c>
      <c r="D620" s="2">
        <v>560</v>
      </c>
      <c r="E620" s="21"/>
      <c r="F620" s="2">
        <v>384</v>
      </c>
      <c r="G620" s="21"/>
      <c r="H620" s="2">
        <v>0</v>
      </c>
      <c r="I620" s="21"/>
      <c r="J620" s="2">
        <v>0</v>
      </c>
      <c r="K620" s="21"/>
      <c r="L620" s="2">
        <v>152</v>
      </c>
      <c r="M620" s="21"/>
      <c r="N620" s="2">
        <v>0</v>
      </c>
      <c r="O620" s="21"/>
      <c r="P620" s="2">
        <v>0</v>
      </c>
      <c r="Q620" s="21"/>
      <c r="R620" s="21"/>
    </row>
    <row r="621" spans="1:18" x14ac:dyDescent="0.3">
      <c r="A621" s="21"/>
      <c r="B621" s="24">
        <v>45230</v>
      </c>
      <c r="C621" s="2" t="s">
        <v>10</v>
      </c>
      <c r="D621" s="2">
        <v>640</v>
      </c>
      <c r="E621" s="22">
        <f>SUM(D621:D1211)-SUM(E624:E1211)</f>
        <v>2020</v>
      </c>
      <c r="F621" s="2">
        <v>384</v>
      </c>
      <c r="G621" s="22">
        <f>SUM(F621:F1211)-SUM(G624:G1211)</f>
        <v>1152</v>
      </c>
      <c r="H621" s="2">
        <v>0</v>
      </c>
      <c r="I621" s="22">
        <f>SUM(H621:H1211)-SUM(I624:I1211)</f>
        <v>0</v>
      </c>
      <c r="J621" s="2">
        <v>0</v>
      </c>
      <c r="K621" s="22">
        <f>SUM(J621:J1211)-SUM(K624:K1211)</f>
        <v>0</v>
      </c>
      <c r="L621" s="2">
        <v>152</v>
      </c>
      <c r="M621" s="22">
        <f>SUM(L621:L1211)-SUM(M624:M1211)</f>
        <v>456</v>
      </c>
      <c r="N621" s="2">
        <v>0</v>
      </c>
      <c r="O621" s="22">
        <f>SUM(N621:N1211)-SUM(O624:O1211)</f>
        <v>0</v>
      </c>
      <c r="P621" s="2">
        <v>0</v>
      </c>
      <c r="Q621" s="22">
        <f>SUM(P621:P1211)-SUM(Q624:Q1211)</f>
        <v>0</v>
      </c>
      <c r="R621" s="21">
        <v>17</v>
      </c>
    </row>
    <row r="622" spans="1:18" x14ac:dyDescent="0.3">
      <c r="A622" s="21"/>
      <c r="B622" s="24"/>
      <c r="C622" s="2" t="s">
        <v>11</v>
      </c>
      <c r="D622" s="2">
        <v>680</v>
      </c>
      <c r="E622" s="21"/>
      <c r="F622" s="2">
        <v>384</v>
      </c>
      <c r="G622" s="21"/>
      <c r="H622" s="2">
        <v>0</v>
      </c>
      <c r="I622" s="21"/>
      <c r="J622" s="2">
        <v>0</v>
      </c>
      <c r="K622" s="21"/>
      <c r="L622" s="2">
        <v>152</v>
      </c>
      <c r="M622" s="21"/>
      <c r="N622" s="2">
        <v>0</v>
      </c>
      <c r="O622" s="21"/>
      <c r="P622" s="2">
        <v>0</v>
      </c>
      <c r="Q622" s="21"/>
      <c r="R622" s="21"/>
    </row>
    <row r="623" spans="1:18" x14ac:dyDescent="0.3">
      <c r="A623" s="21"/>
      <c r="B623" s="24"/>
      <c r="C623" s="2" t="s">
        <v>12</v>
      </c>
      <c r="D623" s="2">
        <v>700</v>
      </c>
      <c r="E623" s="21"/>
      <c r="F623" s="2">
        <v>384</v>
      </c>
      <c r="G623" s="21"/>
      <c r="H623" s="2">
        <v>0</v>
      </c>
      <c r="I623" s="21"/>
      <c r="J623" s="2">
        <v>0</v>
      </c>
      <c r="K623" s="21"/>
      <c r="L623" s="2">
        <v>152</v>
      </c>
      <c r="M623" s="21"/>
      <c r="N623" s="2">
        <v>0</v>
      </c>
      <c r="O623" s="21"/>
      <c r="P623" s="2">
        <v>0</v>
      </c>
      <c r="Q623" s="21"/>
      <c r="R623" s="21"/>
    </row>
  </sheetData>
  <mergeCells count="1871">
    <mergeCell ref="D1:Q1"/>
    <mergeCell ref="Q597:Q599"/>
    <mergeCell ref="Q600:Q602"/>
    <mergeCell ref="Q603:Q605"/>
    <mergeCell ref="Q606:Q608"/>
    <mergeCell ref="Q609:Q611"/>
    <mergeCell ref="Q612:Q614"/>
    <mergeCell ref="Q615:Q617"/>
    <mergeCell ref="Q618:Q620"/>
    <mergeCell ref="Q621:Q623"/>
    <mergeCell ref="Q570:Q572"/>
    <mergeCell ref="Q573:Q575"/>
    <mergeCell ref="Q576:Q578"/>
    <mergeCell ref="Q579:Q581"/>
    <mergeCell ref="Q582:Q584"/>
    <mergeCell ref="Q585:Q587"/>
    <mergeCell ref="Q588:Q590"/>
    <mergeCell ref="Q591:Q593"/>
    <mergeCell ref="Q594:Q596"/>
    <mergeCell ref="Q543:Q545"/>
    <mergeCell ref="Q546:Q548"/>
    <mergeCell ref="Q549:Q551"/>
    <mergeCell ref="Q552:Q554"/>
    <mergeCell ref="Q555:Q557"/>
    <mergeCell ref="Q558:Q560"/>
    <mergeCell ref="Q561:Q563"/>
    <mergeCell ref="Q564:Q566"/>
    <mergeCell ref="Q567:Q569"/>
    <mergeCell ref="Q516:Q518"/>
    <mergeCell ref="Q519:Q521"/>
    <mergeCell ref="Q522:Q524"/>
    <mergeCell ref="Q525:Q527"/>
    <mergeCell ref="Q528:Q530"/>
    <mergeCell ref="Q531:Q533"/>
    <mergeCell ref="Q534:Q536"/>
    <mergeCell ref="Q537:Q539"/>
    <mergeCell ref="Q540:Q542"/>
    <mergeCell ref="Q489:Q491"/>
    <mergeCell ref="Q492:Q494"/>
    <mergeCell ref="Q495:Q497"/>
    <mergeCell ref="Q498:Q500"/>
    <mergeCell ref="Q501:Q503"/>
    <mergeCell ref="Q504:Q506"/>
    <mergeCell ref="Q507:Q509"/>
    <mergeCell ref="Q510:Q512"/>
    <mergeCell ref="Q513:Q515"/>
    <mergeCell ref="Q462:Q464"/>
    <mergeCell ref="Q465:Q467"/>
    <mergeCell ref="Q468:Q470"/>
    <mergeCell ref="Q471:Q473"/>
    <mergeCell ref="Q474:Q476"/>
    <mergeCell ref="Q477:Q479"/>
    <mergeCell ref="Q480:Q482"/>
    <mergeCell ref="Q483:Q485"/>
    <mergeCell ref="Q486:Q488"/>
    <mergeCell ref="Q435:Q437"/>
    <mergeCell ref="Q438:Q440"/>
    <mergeCell ref="Q441:Q443"/>
    <mergeCell ref="Q444:Q446"/>
    <mergeCell ref="Q447:Q449"/>
    <mergeCell ref="Q450:Q452"/>
    <mergeCell ref="Q453:Q455"/>
    <mergeCell ref="Q456:Q458"/>
    <mergeCell ref="Q459:Q461"/>
    <mergeCell ref="Q408:Q410"/>
    <mergeCell ref="Q411:Q413"/>
    <mergeCell ref="Q414:Q416"/>
    <mergeCell ref="Q417:Q419"/>
    <mergeCell ref="Q420:Q422"/>
    <mergeCell ref="Q423:Q425"/>
    <mergeCell ref="Q426:Q428"/>
    <mergeCell ref="Q429:Q431"/>
    <mergeCell ref="Q432:Q434"/>
    <mergeCell ref="Q381:Q383"/>
    <mergeCell ref="Q384:Q386"/>
    <mergeCell ref="Q387:Q389"/>
    <mergeCell ref="Q390:Q392"/>
    <mergeCell ref="Q393:Q395"/>
    <mergeCell ref="Q396:Q398"/>
    <mergeCell ref="Q399:Q401"/>
    <mergeCell ref="Q402:Q404"/>
    <mergeCell ref="Q405:Q407"/>
    <mergeCell ref="Q354:Q356"/>
    <mergeCell ref="Q357:Q359"/>
    <mergeCell ref="Q360:Q362"/>
    <mergeCell ref="Q363:Q365"/>
    <mergeCell ref="Q366:Q368"/>
    <mergeCell ref="Q369:Q371"/>
    <mergeCell ref="Q372:Q374"/>
    <mergeCell ref="Q375:Q377"/>
    <mergeCell ref="Q378:Q380"/>
    <mergeCell ref="Q327:Q329"/>
    <mergeCell ref="Q330:Q332"/>
    <mergeCell ref="Q333:Q335"/>
    <mergeCell ref="Q336:Q338"/>
    <mergeCell ref="Q339:Q341"/>
    <mergeCell ref="Q342:Q344"/>
    <mergeCell ref="Q345:Q347"/>
    <mergeCell ref="Q348:Q350"/>
    <mergeCell ref="Q351:Q353"/>
    <mergeCell ref="Q300:Q302"/>
    <mergeCell ref="Q303:Q305"/>
    <mergeCell ref="Q306:Q308"/>
    <mergeCell ref="Q309:Q311"/>
    <mergeCell ref="Q312:Q314"/>
    <mergeCell ref="Q315:Q317"/>
    <mergeCell ref="Q318:Q320"/>
    <mergeCell ref="Q321:Q323"/>
    <mergeCell ref="Q324:Q326"/>
    <mergeCell ref="Q273:Q275"/>
    <mergeCell ref="Q276:Q278"/>
    <mergeCell ref="Q279:Q281"/>
    <mergeCell ref="Q282:Q284"/>
    <mergeCell ref="Q285:Q287"/>
    <mergeCell ref="Q288:Q290"/>
    <mergeCell ref="Q291:Q293"/>
    <mergeCell ref="Q294:Q296"/>
    <mergeCell ref="Q297:Q299"/>
    <mergeCell ref="Q246:Q248"/>
    <mergeCell ref="Q249:Q251"/>
    <mergeCell ref="Q252:Q254"/>
    <mergeCell ref="Q255:Q257"/>
    <mergeCell ref="Q258:Q260"/>
    <mergeCell ref="Q261:Q263"/>
    <mergeCell ref="Q264:Q266"/>
    <mergeCell ref="Q267:Q269"/>
    <mergeCell ref="Q270:Q272"/>
    <mergeCell ref="Q219:Q221"/>
    <mergeCell ref="Q222:Q224"/>
    <mergeCell ref="Q225:Q227"/>
    <mergeCell ref="Q228:Q230"/>
    <mergeCell ref="Q231:Q233"/>
    <mergeCell ref="Q234:Q236"/>
    <mergeCell ref="Q237:Q239"/>
    <mergeCell ref="Q240:Q242"/>
    <mergeCell ref="Q243:Q245"/>
    <mergeCell ref="Q192:Q194"/>
    <mergeCell ref="Q195:Q197"/>
    <mergeCell ref="Q198:Q200"/>
    <mergeCell ref="Q201:Q203"/>
    <mergeCell ref="Q204:Q206"/>
    <mergeCell ref="Q207:Q209"/>
    <mergeCell ref="Q210:Q212"/>
    <mergeCell ref="Q213:Q215"/>
    <mergeCell ref="Q216:Q218"/>
    <mergeCell ref="Q165:Q167"/>
    <mergeCell ref="Q168:Q170"/>
    <mergeCell ref="Q171:Q173"/>
    <mergeCell ref="Q174:Q176"/>
    <mergeCell ref="Q177:Q179"/>
    <mergeCell ref="Q180:Q182"/>
    <mergeCell ref="Q183:Q185"/>
    <mergeCell ref="Q186:Q188"/>
    <mergeCell ref="Q189:Q191"/>
    <mergeCell ref="Q138:Q140"/>
    <mergeCell ref="Q141:Q143"/>
    <mergeCell ref="Q144:Q146"/>
    <mergeCell ref="Q147:Q149"/>
    <mergeCell ref="Q150:Q152"/>
    <mergeCell ref="Q153:Q155"/>
    <mergeCell ref="Q156:Q158"/>
    <mergeCell ref="Q159:Q161"/>
    <mergeCell ref="Q162:Q164"/>
    <mergeCell ref="Q111:Q113"/>
    <mergeCell ref="Q114:Q116"/>
    <mergeCell ref="Q117:Q119"/>
    <mergeCell ref="Q120:Q122"/>
    <mergeCell ref="Q123:Q125"/>
    <mergeCell ref="Q126:Q128"/>
    <mergeCell ref="Q129:Q131"/>
    <mergeCell ref="Q132:Q134"/>
    <mergeCell ref="Q135:Q137"/>
    <mergeCell ref="Q84:Q86"/>
    <mergeCell ref="Q87:Q89"/>
    <mergeCell ref="Q90:Q92"/>
    <mergeCell ref="Q93:Q95"/>
    <mergeCell ref="Q96:Q98"/>
    <mergeCell ref="Q99:Q101"/>
    <mergeCell ref="Q102:Q104"/>
    <mergeCell ref="Q105:Q107"/>
    <mergeCell ref="Q108:Q110"/>
    <mergeCell ref="Q57:Q59"/>
    <mergeCell ref="Q60:Q62"/>
    <mergeCell ref="Q63:Q65"/>
    <mergeCell ref="Q66:Q68"/>
    <mergeCell ref="Q69:Q71"/>
    <mergeCell ref="Q72:Q74"/>
    <mergeCell ref="Q75:Q77"/>
    <mergeCell ref="Q78:Q80"/>
    <mergeCell ref="Q81:Q83"/>
    <mergeCell ref="Q30:Q32"/>
    <mergeCell ref="Q33:Q35"/>
    <mergeCell ref="Q36:Q38"/>
    <mergeCell ref="Q39:Q41"/>
    <mergeCell ref="Q42:Q44"/>
    <mergeCell ref="Q45:Q47"/>
    <mergeCell ref="Q48:Q50"/>
    <mergeCell ref="Q51:Q53"/>
    <mergeCell ref="Q54:Q56"/>
    <mergeCell ref="Q3:Q5"/>
    <mergeCell ref="Q6:Q8"/>
    <mergeCell ref="Q9:Q11"/>
    <mergeCell ref="Q12:Q14"/>
    <mergeCell ref="Q15:Q17"/>
    <mergeCell ref="Q18:Q20"/>
    <mergeCell ref="Q21:Q23"/>
    <mergeCell ref="Q24:Q26"/>
    <mergeCell ref="Q27:Q29"/>
    <mergeCell ref="O603:O605"/>
    <mergeCell ref="O606:O608"/>
    <mergeCell ref="O609:O611"/>
    <mergeCell ref="O612:O614"/>
    <mergeCell ref="O615:O617"/>
    <mergeCell ref="O618:O620"/>
    <mergeCell ref="O621:O623"/>
    <mergeCell ref="O576:O578"/>
    <mergeCell ref="O579:O581"/>
    <mergeCell ref="O582:O584"/>
    <mergeCell ref="O585:O587"/>
    <mergeCell ref="O588:O590"/>
    <mergeCell ref="O591:O593"/>
    <mergeCell ref="O594:O596"/>
    <mergeCell ref="O597:O599"/>
    <mergeCell ref="O600:O602"/>
    <mergeCell ref="O549:O551"/>
    <mergeCell ref="O552:O554"/>
    <mergeCell ref="O555:O557"/>
    <mergeCell ref="O558:O560"/>
    <mergeCell ref="O561:O563"/>
    <mergeCell ref="O564:O566"/>
    <mergeCell ref="O567:O569"/>
    <mergeCell ref="O570:O572"/>
    <mergeCell ref="O573:O575"/>
    <mergeCell ref="O522:O524"/>
    <mergeCell ref="O525:O527"/>
    <mergeCell ref="O528:O530"/>
    <mergeCell ref="O531:O533"/>
    <mergeCell ref="O534:O536"/>
    <mergeCell ref="O537:O539"/>
    <mergeCell ref="O540:O542"/>
    <mergeCell ref="O543:O545"/>
    <mergeCell ref="O546:O548"/>
    <mergeCell ref="O495:O497"/>
    <mergeCell ref="O498:O500"/>
    <mergeCell ref="O501:O503"/>
    <mergeCell ref="O504:O506"/>
    <mergeCell ref="O507:O509"/>
    <mergeCell ref="O510:O512"/>
    <mergeCell ref="O513:O515"/>
    <mergeCell ref="O516:O518"/>
    <mergeCell ref="O519:O521"/>
    <mergeCell ref="O468:O470"/>
    <mergeCell ref="O471:O473"/>
    <mergeCell ref="O474:O476"/>
    <mergeCell ref="O477:O479"/>
    <mergeCell ref="O480:O482"/>
    <mergeCell ref="O483:O485"/>
    <mergeCell ref="O486:O488"/>
    <mergeCell ref="O489:O491"/>
    <mergeCell ref="O492:O494"/>
    <mergeCell ref="O441:O443"/>
    <mergeCell ref="O444:O446"/>
    <mergeCell ref="O447:O449"/>
    <mergeCell ref="O450:O452"/>
    <mergeCell ref="O453:O455"/>
    <mergeCell ref="O456:O458"/>
    <mergeCell ref="O459:O461"/>
    <mergeCell ref="O462:O464"/>
    <mergeCell ref="O465:O467"/>
    <mergeCell ref="O414:O416"/>
    <mergeCell ref="O417:O419"/>
    <mergeCell ref="O420:O422"/>
    <mergeCell ref="O423:O425"/>
    <mergeCell ref="O426:O428"/>
    <mergeCell ref="O429:O431"/>
    <mergeCell ref="O432:O434"/>
    <mergeCell ref="O435:O437"/>
    <mergeCell ref="O438:O440"/>
    <mergeCell ref="O387:O389"/>
    <mergeCell ref="O390:O392"/>
    <mergeCell ref="O393:O395"/>
    <mergeCell ref="O396:O398"/>
    <mergeCell ref="O399:O401"/>
    <mergeCell ref="O402:O404"/>
    <mergeCell ref="O405:O407"/>
    <mergeCell ref="O408:O410"/>
    <mergeCell ref="O411:O413"/>
    <mergeCell ref="O360:O362"/>
    <mergeCell ref="O363:O365"/>
    <mergeCell ref="O366:O368"/>
    <mergeCell ref="O369:O371"/>
    <mergeCell ref="O372:O374"/>
    <mergeCell ref="O375:O377"/>
    <mergeCell ref="O378:O380"/>
    <mergeCell ref="O381:O383"/>
    <mergeCell ref="O384:O386"/>
    <mergeCell ref="O333:O335"/>
    <mergeCell ref="O336:O338"/>
    <mergeCell ref="O339:O341"/>
    <mergeCell ref="O342:O344"/>
    <mergeCell ref="O345:O347"/>
    <mergeCell ref="O348:O350"/>
    <mergeCell ref="O351:O353"/>
    <mergeCell ref="O354:O356"/>
    <mergeCell ref="O357:O359"/>
    <mergeCell ref="O306:O308"/>
    <mergeCell ref="O309:O311"/>
    <mergeCell ref="O312:O314"/>
    <mergeCell ref="O315:O317"/>
    <mergeCell ref="O318:O320"/>
    <mergeCell ref="O321:O323"/>
    <mergeCell ref="O324:O326"/>
    <mergeCell ref="O327:O329"/>
    <mergeCell ref="O330:O332"/>
    <mergeCell ref="O279:O281"/>
    <mergeCell ref="O282:O284"/>
    <mergeCell ref="O285:O287"/>
    <mergeCell ref="O288:O290"/>
    <mergeCell ref="O291:O293"/>
    <mergeCell ref="O294:O296"/>
    <mergeCell ref="O297:O299"/>
    <mergeCell ref="O300:O302"/>
    <mergeCell ref="O303:O305"/>
    <mergeCell ref="O252:O254"/>
    <mergeCell ref="O255:O257"/>
    <mergeCell ref="O258:O260"/>
    <mergeCell ref="O261:O263"/>
    <mergeCell ref="O264:O266"/>
    <mergeCell ref="O267:O269"/>
    <mergeCell ref="O270:O272"/>
    <mergeCell ref="O273:O275"/>
    <mergeCell ref="O276:O278"/>
    <mergeCell ref="O225:O227"/>
    <mergeCell ref="O228:O230"/>
    <mergeCell ref="O231:O233"/>
    <mergeCell ref="O234:O236"/>
    <mergeCell ref="O237:O239"/>
    <mergeCell ref="O240:O242"/>
    <mergeCell ref="O243:O245"/>
    <mergeCell ref="O246:O248"/>
    <mergeCell ref="O249:O251"/>
    <mergeCell ref="O198:O200"/>
    <mergeCell ref="O201:O203"/>
    <mergeCell ref="O204:O206"/>
    <mergeCell ref="O207:O209"/>
    <mergeCell ref="O210:O212"/>
    <mergeCell ref="O213:O215"/>
    <mergeCell ref="O216:O218"/>
    <mergeCell ref="O219:O221"/>
    <mergeCell ref="O222:O224"/>
    <mergeCell ref="O171:O173"/>
    <mergeCell ref="O174:O176"/>
    <mergeCell ref="O177:O179"/>
    <mergeCell ref="O180:O182"/>
    <mergeCell ref="O183:O185"/>
    <mergeCell ref="O186:O188"/>
    <mergeCell ref="O189:O191"/>
    <mergeCell ref="O192:O194"/>
    <mergeCell ref="O195:O197"/>
    <mergeCell ref="O144:O146"/>
    <mergeCell ref="O147:O149"/>
    <mergeCell ref="O150:O152"/>
    <mergeCell ref="O153:O155"/>
    <mergeCell ref="O156:O158"/>
    <mergeCell ref="O159:O161"/>
    <mergeCell ref="O162:O164"/>
    <mergeCell ref="O165:O167"/>
    <mergeCell ref="O168:O170"/>
    <mergeCell ref="O117:O119"/>
    <mergeCell ref="O120:O122"/>
    <mergeCell ref="O123:O125"/>
    <mergeCell ref="O126:O128"/>
    <mergeCell ref="O129:O131"/>
    <mergeCell ref="O132:O134"/>
    <mergeCell ref="O135:O137"/>
    <mergeCell ref="O138:O140"/>
    <mergeCell ref="O141:O143"/>
    <mergeCell ref="O90:O92"/>
    <mergeCell ref="O93:O95"/>
    <mergeCell ref="O96:O98"/>
    <mergeCell ref="O99:O101"/>
    <mergeCell ref="O102:O104"/>
    <mergeCell ref="O105:O107"/>
    <mergeCell ref="O108:O110"/>
    <mergeCell ref="O111:O113"/>
    <mergeCell ref="O114:O116"/>
    <mergeCell ref="O63:O65"/>
    <mergeCell ref="O66:O68"/>
    <mergeCell ref="O69:O71"/>
    <mergeCell ref="O72:O74"/>
    <mergeCell ref="O75:O77"/>
    <mergeCell ref="O78:O80"/>
    <mergeCell ref="O81:O83"/>
    <mergeCell ref="O84:O86"/>
    <mergeCell ref="O87:O89"/>
    <mergeCell ref="O3:O5"/>
    <mergeCell ref="O6:O8"/>
    <mergeCell ref="O9:O11"/>
    <mergeCell ref="O12:O14"/>
    <mergeCell ref="O15:O17"/>
    <mergeCell ref="O18:O20"/>
    <mergeCell ref="O21:O23"/>
    <mergeCell ref="O24:O26"/>
    <mergeCell ref="O27:O29"/>
    <mergeCell ref="O30:O32"/>
    <mergeCell ref="O33:O35"/>
    <mergeCell ref="O36:O38"/>
    <mergeCell ref="O39:O41"/>
    <mergeCell ref="O42:O44"/>
    <mergeCell ref="O45:O47"/>
    <mergeCell ref="O48:O50"/>
    <mergeCell ref="O51:O53"/>
    <mergeCell ref="O54:O56"/>
    <mergeCell ref="O57:O59"/>
    <mergeCell ref="O60:O62"/>
    <mergeCell ref="M618:M620"/>
    <mergeCell ref="M621:M623"/>
    <mergeCell ref="M591:M593"/>
    <mergeCell ref="M594:M596"/>
    <mergeCell ref="M597:M599"/>
    <mergeCell ref="M600:M602"/>
    <mergeCell ref="M603:M605"/>
    <mergeCell ref="M606:M608"/>
    <mergeCell ref="M609:M611"/>
    <mergeCell ref="M612:M614"/>
    <mergeCell ref="M615:M617"/>
    <mergeCell ref="M564:M566"/>
    <mergeCell ref="M567:M569"/>
    <mergeCell ref="M570:M572"/>
    <mergeCell ref="M573:M575"/>
    <mergeCell ref="M576:M578"/>
    <mergeCell ref="M579:M581"/>
    <mergeCell ref="M582:M584"/>
    <mergeCell ref="M585:M587"/>
    <mergeCell ref="M588:M590"/>
    <mergeCell ref="M537:M539"/>
    <mergeCell ref="M540:M542"/>
    <mergeCell ref="M543:M545"/>
    <mergeCell ref="M546:M548"/>
    <mergeCell ref="M549:M551"/>
    <mergeCell ref="M552:M554"/>
    <mergeCell ref="M555:M557"/>
    <mergeCell ref="M558:M560"/>
    <mergeCell ref="M561:M563"/>
    <mergeCell ref="M510:M512"/>
    <mergeCell ref="M513:M515"/>
    <mergeCell ref="M516:M518"/>
    <mergeCell ref="M519:M521"/>
    <mergeCell ref="M522:M524"/>
    <mergeCell ref="M525:M527"/>
    <mergeCell ref="M528:M530"/>
    <mergeCell ref="M531:M533"/>
    <mergeCell ref="M534:M536"/>
    <mergeCell ref="M483:M485"/>
    <mergeCell ref="M486:M488"/>
    <mergeCell ref="M489:M491"/>
    <mergeCell ref="M492:M494"/>
    <mergeCell ref="M495:M497"/>
    <mergeCell ref="M498:M500"/>
    <mergeCell ref="M501:M503"/>
    <mergeCell ref="M504:M506"/>
    <mergeCell ref="M507:M509"/>
    <mergeCell ref="M456:M458"/>
    <mergeCell ref="M459:M461"/>
    <mergeCell ref="M462:M464"/>
    <mergeCell ref="M465:M467"/>
    <mergeCell ref="M468:M470"/>
    <mergeCell ref="M471:M473"/>
    <mergeCell ref="M474:M476"/>
    <mergeCell ref="M477:M479"/>
    <mergeCell ref="M480:M482"/>
    <mergeCell ref="M429:M431"/>
    <mergeCell ref="M432:M434"/>
    <mergeCell ref="M435:M437"/>
    <mergeCell ref="M438:M440"/>
    <mergeCell ref="M441:M443"/>
    <mergeCell ref="M444:M446"/>
    <mergeCell ref="M447:M449"/>
    <mergeCell ref="M450:M452"/>
    <mergeCell ref="M453:M455"/>
    <mergeCell ref="M402:M404"/>
    <mergeCell ref="M405:M407"/>
    <mergeCell ref="M408:M410"/>
    <mergeCell ref="M411:M413"/>
    <mergeCell ref="M414:M416"/>
    <mergeCell ref="M417:M419"/>
    <mergeCell ref="M420:M422"/>
    <mergeCell ref="M423:M425"/>
    <mergeCell ref="M426:M428"/>
    <mergeCell ref="M375:M377"/>
    <mergeCell ref="M378:M380"/>
    <mergeCell ref="M381:M383"/>
    <mergeCell ref="M384:M386"/>
    <mergeCell ref="M387:M389"/>
    <mergeCell ref="M390:M392"/>
    <mergeCell ref="M393:M395"/>
    <mergeCell ref="M396:M398"/>
    <mergeCell ref="M399:M401"/>
    <mergeCell ref="M348:M350"/>
    <mergeCell ref="M351:M353"/>
    <mergeCell ref="M354:M356"/>
    <mergeCell ref="M357:M359"/>
    <mergeCell ref="M360:M362"/>
    <mergeCell ref="M363:M365"/>
    <mergeCell ref="M366:M368"/>
    <mergeCell ref="M369:M371"/>
    <mergeCell ref="M372:M374"/>
    <mergeCell ref="M321:M323"/>
    <mergeCell ref="M324:M326"/>
    <mergeCell ref="M327:M329"/>
    <mergeCell ref="M330:M332"/>
    <mergeCell ref="M333:M335"/>
    <mergeCell ref="M336:M338"/>
    <mergeCell ref="M339:M341"/>
    <mergeCell ref="M342:M344"/>
    <mergeCell ref="M345:M347"/>
    <mergeCell ref="M294:M296"/>
    <mergeCell ref="M297:M299"/>
    <mergeCell ref="M300:M302"/>
    <mergeCell ref="M303:M305"/>
    <mergeCell ref="M306:M308"/>
    <mergeCell ref="M309:M311"/>
    <mergeCell ref="M312:M314"/>
    <mergeCell ref="M315:M317"/>
    <mergeCell ref="M318:M320"/>
    <mergeCell ref="M267:M269"/>
    <mergeCell ref="M270:M272"/>
    <mergeCell ref="M273:M275"/>
    <mergeCell ref="M276:M278"/>
    <mergeCell ref="M279:M281"/>
    <mergeCell ref="M282:M284"/>
    <mergeCell ref="M285:M287"/>
    <mergeCell ref="M288:M290"/>
    <mergeCell ref="M291:M293"/>
    <mergeCell ref="M240:M242"/>
    <mergeCell ref="M243:M245"/>
    <mergeCell ref="M246:M248"/>
    <mergeCell ref="M249:M251"/>
    <mergeCell ref="M252:M254"/>
    <mergeCell ref="M255:M257"/>
    <mergeCell ref="M258:M260"/>
    <mergeCell ref="M261:M263"/>
    <mergeCell ref="M264:M266"/>
    <mergeCell ref="M213:M215"/>
    <mergeCell ref="M216:M218"/>
    <mergeCell ref="M219:M221"/>
    <mergeCell ref="M222:M224"/>
    <mergeCell ref="M225:M227"/>
    <mergeCell ref="M228:M230"/>
    <mergeCell ref="M231:M233"/>
    <mergeCell ref="M234:M236"/>
    <mergeCell ref="M237:M239"/>
    <mergeCell ref="M186:M188"/>
    <mergeCell ref="M189:M191"/>
    <mergeCell ref="M192:M194"/>
    <mergeCell ref="M195:M197"/>
    <mergeCell ref="M198:M200"/>
    <mergeCell ref="M201:M203"/>
    <mergeCell ref="M204:M206"/>
    <mergeCell ref="M207:M209"/>
    <mergeCell ref="M210:M212"/>
    <mergeCell ref="M159:M161"/>
    <mergeCell ref="M162:M164"/>
    <mergeCell ref="M165:M167"/>
    <mergeCell ref="M168:M170"/>
    <mergeCell ref="M171:M173"/>
    <mergeCell ref="M174:M176"/>
    <mergeCell ref="M177:M179"/>
    <mergeCell ref="M180:M182"/>
    <mergeCell ref="M183:M185"/>
    <mergeCell ref="M132:M134"/>
    <mergeCell ref="M135:M137"/>
    <mergeCell ref="M138:M140"/>
    <mergeCell ref="M141:M143"/>
    <mergeCell ref="M144:M146"/>
    <mergeCell ref="M147:M149"/>
    <mergeCell ref="M150:M152"/>
    <mergeCell ref="M153:M155"/>
    <mergeCell ref="M156:M158"/>
    <mergeCell ref="M105:M107"/>
    <mergeCell ref="M108:M110"/>
    <mergeCell ref="M111:M113"/>
    <mergeCell ref="M114:M116"/>
    <mergeCell ref="M117:M119"/>
    <mergeCell ref="M120:M122"/>
    <mergeCell ref="M123:M125"/>
    <mergeCell ref="M126:M128"/>
    <mergeCell ref="M129:M131"/>
    <mergeCell ref="M78:M80"/>
    <mergeCell ref="M81:M83"/>
    <mergeCell ref="M84:M86"/>
    <mergeCell ref="M87:M89"/>
    <mergeCell ref="M90:M92"/>
    <mergeCell ref="M93:M95"/>
    <mergeCell ref="M96:M98"/>
    <mergeCell ref="M99:M101"/>
    <mergeCell ref="M102:M104"/>
    <mergeCell ref="M51:M53"/>
    <mergeCell ref="M54:M56"/>
    <mergeCell ref="M57:M59"/>
    <mergeCell ref="M60:M62"/>
    <mergeCell ref="M63:M65"/>
    <mergeCell ref="M66:M68"/>
    <mergeCell ref="M69:M71"/>
    <mergeCell ref="M72:M74"/>
    <mergeCell ref="M75:M77"/>
    <mergeCell ref="M3:M5"/>
    <mergeCell ref="M6:M8"/>
    <mergeCell ref="M9:M11"/>
    <mergeCell ref="M12:M14"/>
    <mergeCell ref="M15:M17"/>
    <mergeCell ref="M18:M20"/>
    <mergeCell ref="M21:M23"/>
    <mergeCell ref="M24:M26"/>
    <mergeCell ref="M27:M29"/>
    <mergeCell ref="M30:M32"/>
    <mergeCell ref="M33:M35"/>
    <mergeCell ref="M36:M38"/>
    <mergeCell ref="M39:M41"/>
    <mergeCell ref="M42:M44"/>
    <mergeCell ref="M45:M47"/>
    <mergeCell ref="M48:M50"/>
    <mergeCell ref="K606:K608"/>
    <mergeCell ref="K525:K527"/>
    <mergeCell ref="K528:K530"/>
    <mergeCell ref="K531:K533"/>
    <mergeCell ref="K534:K536"/>
    <mergeCell ref="K537:K539"/>
    <mergeCell ref="K540:K542"/>
    <mergeCell ref="K543:K545"/>
    <mergeCell ref="K546:K548"/>
    <mergeCell ref="K549:K551"/>
    <mergeCell ref="K498:K500"/>
    <mergeCell ref="K501:K503"/>
    <mergeCell ref="K504:K506"/>
    <mergeCell ref="K507:K509"/>
    <mergeCell ref="K510:K512"/>
    <mergeCell ref="K513:K515"/>
    <mergeCell ref="K609:K611"/>
    <mergeCell ref="K612:K614"/>
    <mergeCell ref="K615:K617"/>
    <mergeCell ref="K618:K620"/>
    <mergeCell ref="K621:K623"/>
    <mergeCell ref="K579:K581"/>
    <mergeCell ref="K582:K584"/>
    <mergeCell ref="K585:K587"/>
    <mergeCell ref="K588:K590"/>
    <mergeCell ref="K591:K593"/>
    <mergeCell ref="K594:K596"/>
    <mergeCell ref="K597:K599"/>
    <mergeCell ref="K600:K602"/>
    <mergeCell ref="K603:K605"/>
    <mergeCell ref="K552:K554"/>
    <mergeCell ref="K555:K557"/>
    <mergeCell ref="K558:K560"/>
    <mergeCell ref="K561:K563"/>
    <mergeCell ref="K564:K566"/>
    <mergeCell ref="K567:K569"/>
    <mergeCell ref="K570:K572"/>
    <mergeCell ref="K573:K575"/>
    <mergeCell ref="K576:K578"/>
    <mergeCell ref="K516:K518"/>
    <mergeCell ref="K519:K521"/>
    <mergeCell ref="K522:K524"/>
    <mergeCell ref="K471:K473"/>
    <mergeCell ref="K474:K476"/>
    <mergeCell ref="K477:K479"/>
    <mergeCell ref="K480:K482"/>
    <mergeCell ref="K483:K485"/>
    <mergeCell ref="K486:K488"/>
    <mergeCell ref="K489:K491"/>
    <mergeCell ref="K492:K494"/>
    <mergeCell ref="K495:K497"/>
    <mergeCell ref="K444:K446"/>
    <mergeCell ref="K447:K449"/>
    <mergeCell ref="K450:K452"/>
    <mergeCell ref="K453:K455"/>
    <mergeCell ref="K456:K458"/>
    <mergeCell ref="K459:K461"/>
    <mergeCell ref="K462:K464"/>
    <mergeCell ref="K465:K467"/>
    <mergeCell ref="K468:K470"/>
    <mergeCell ref="K417:K419"/>
    <mergeCell ref="K420:K422"/>
    <mergeCell ref="K423:K425"/>
    <mergeCell ref="K426:K428"/>
    <mergeCell ref="K429:K431"/>
    <mergeCell ref="K432:K434"/>
    <mergeCell ref="K435:K437"/>
    <mergeCell ref="K438:K440"/>
    <mergeCell ref="K441:K443"/>
    <mergeCell ref="K390:K392"/>
    <mergeCell ref="K393:K395"/>
    <mergeCell ref="K396:K398"/>
    <mergeCell ref="K399:K401"/>
    <mergeCell ref="K402:K404"/>
    <mergeCell ref="K405:K407"/>
    <mergeCell ref="K408:K410"/>
    <mergeCell ref="K411:K413"/>
    <mergeCell ref="K414:K416"/>
    <mergeCell ref="K363:K365"/>
    <mergeCell ref="K366:K368"/>
    <mergeCell ref="K369:K371"/>
    <mergeCell ref="K372:K374"/>
    <mergeCell ref="K375:K377"/>
    <mergeCell ref="K378:K380"/>
    <mergeCell ref="K381:K383"/>
    <mergeCell ref="K384:K386"/>
    <mergeCell ref="K387:K389"/>
    <mergeCell ref="K336:K338"/>
    <mergeCell ref="K339:K341"/>
    <mergeCell ref="K342:K344"/>
    <mergeCell ref="K345:K347"/>
    <mergeCell ref="K348:K350"/>
    <mergeCell ref="K351:K353"/>
    <mergeCell ref="K354:K356"/>
    <mergeCell ref="K357:K359"/>
    <mergeCell ref="K360:K362"/>
    <mergeCell ref="K312:K314"/>
    <mergeCell ref="K315:K317"/>
    <mergeCell ref="K318:K320"/>
    <mergeCell ref="K321:K323"/>
    <mergeCell ref="K324:K326"/>
    <mergeCell ref="K327:K329"/>
    <mergeCell ref="K330:K332"/>
    <mergeCell ref="K333:K335"/>
    <mergeCell ref="K282:K284"/>
    <mergeCell ref="K285:K287"/>
    <mergeCell ref="K288:K290"/>
    <mergeCell ref="K291:K293"/>
    <mergeCell ref="K294:K296"/>
    <mergeCell ref="K297:K299"/>
    <mergeCell ref="K300:K302"/>
    <mergeCell ref="K303:K305"/>
    <mergeCell ref="K306:K308"/>
    <mergeCell ref="K261:K263"/>
    <mergeCell ref="K264:K266"/>
    <mergeCell ref="K267:K269"/>
    <mergeCell ref="K270:K272"/>
    <mergeCell ref="K273:K275"/>
    <mergeCell ref="K276:K278"/>
    <mergeCell ref="K279:K281"/>
    <mergeCell ref="K228:K230"/>
    <mergeCell ref="K231:K233"/>
    <mergeCell ref="K234:K236"/>
    <mergeCell ref="K237:K239"/>
    <mergeCell ref="K240:K242"/>
    <mergeCell ref="K243:K245"/>
    <mergeCell ref="K246:K248"/>
    <mergeCell ref="K249:K251"/>
    <mergeCell ref="K252:K254"/>
    <mergeCell ref="K309:K311"/>
    <mergeCell ref="K201:K203"/>
    <mergeCell ref="K204:K206"/>
    <mergeCell ref="K207:K209"/>
    <mergeCell ref="K210:K212"/>
    <mergeCell ref="K213:K215"/>
    <mergeCell ref="K216:K218"/>
    <mergeCell ref="K219:K221"/>
    <mergeCell ref="K222:K224"/>
    <mergeCell ref="K225:K227"/>
    <mergeCell ref="K174:K176"/>
    <mergeCell ref="K177:K179"/>
    <mergeCell ref="K180:K182"/>
    <mergeCell ref="K183:K185"/>
    <mergeCell ref="K186:K188"/>
    <mergeCell ref="K189:K191"/>
    <mergeCell ref="K192:K194"/>
    <mergeCell ref="K195:K197"/>
    <mergeCell ref="K198:K200"/>
    <mergeCell ref="K147:K149"/>
    <mergeCell ref="K150:K152"/>
    <mergeCell ref="K153:K155"/>
    <mergeCell ref="K156:K158"/>
    <mergeCell ref="K159:K161"/>
    <mergeCell ref="K162:K164"/>
    <mergeCell ref="K165:K167"/>
    <mergeCell ref="K168:K170"/>
    <mergeCell ref="K171:K173"/>
    <mergeCell ref="K120:K122"/>
    <mergeCell ref="K123:K125"/>
    <mergeCell ref="K126:K128"/>
    <mergeCell ref="K129:K131"/>
    <mergeCell ref="K132:K134"/>
    <mergeCell ref="K135:K137"/>
    <mergeCell ref="K138:K140"/>
    <mergeCell ref="K141:K143"/>
    <mergeCell ref="K144:K146"/>
    <mergeCell ref="K93:K95"/>
    <mergeCell ref="K96:K98"/>
    <mergeCell ref="K99:K101"/>
    <mergeCell ref="K102:K104"/>
    <mergeCell ref="K105:K107"/>
    <mergeCell ref="K108:K110"/>
    <mergeCell ref="K111:K113"/>
    <mergeCell ref="K114:K116"/>
    <mergeCell ref="K117:K119"/>
    <mergeCell ref="K66:K68"/>
    <mergeCell ref="K69:K71"/>
    <mergeCell ref="K72:K74"/>
    <mergeCell ref="K75:K77"/>
    <mergeCell ref="K78:K80"/>
    <mergeCell ref="K81:K83"/>
    <mergeCell ref="K84:K86"/>
    <mergeCell ref="K87:K89"/>
    <mergeCell ref="K90:K92"/>
    <mergeCell ref="K3:K5"/>
    <mergeCell ref="K6:K8"/>
    <mergeCell ref="K9:K11"/>
    <mergeCell ref="K12:K14"/>
    <mergeCell ref="K15:K17"/>
    <mergeCell ref="K18:K20"/>
    <mergeCell ref="K21:K23"/>
    <mergeCell ref="K24:K26"/>
    <mergeCell ref="K27:K29"/>
    <mergeCell ref="K30:K32"/>
    <mergeCell ref="K33:K35"/>
    <mergeCell ref="K36:K38"/>
    <mergeCell ref="K39:K41"/>
    <mergeCell ref="K42:K44"/>
    <mergeCell ref="K45:K47"/>
    <mergeCell ref="K48:K50"/>
    <mergeCell ref="K51:K53"/>
    <mergeCell ref="K54:K56"/>
    <mergeCell ref="K57:K59"/>
    <mergeCell ref="K60:K62"/>
    <mergeCell ref="K63:K65"/>
    <mergeCell ref="I621:I623"/>
    <mergeCell ref="I594:I596"/>
    <mergeCell ref="I597:I599"/>
    <mergeCell ref="I600:I602"/>
    <mergeCell ref="I603:I605"/>
    <mergeCell ref="I606:I608"/>
    <mergeCell ref="I609:I611"/>
    <mergeCell ref="I612:I614"/>
    <mergeCell ref="I615:I617"/>
    <mergeCell ref="I618:I620"/>
    <mergeCell ref="I567:I569"/>
    <mergeCell ref="I570:I572"/>
    <mergeCell ref="I573:I575"/>
    <mergeCell ref="I576:I578"/>
    <mergeCell ref="I579:I581"/>
    <mergeCell ref="I582:I584"/>
    <mergeCell ref="I585:I587"/>
    <mergeCell ref="I588:I590"/>
    <mergeCell ref="I591:I593"/>
    <mergeCell ref="I540:I542"/>
    <mergeCell ref="I543:I545"/>
    <mergeCell ref="I546:I548"/>
    <mergeCell ref="I549:I551"/>
    <mergeCell ref="I552:I554"/>
    <mergeCell ref="I555:I557"/>
    <mergeCell ref="I558:I560"/>
    <mergeCell ref="I561:I563"/>
    <mergeCell ref="I564:I566"/>
    <mergeCell ref="I513:I515"/>
    <mergeCell ref="I516:I518"/>
    <mergeCell ref="I519:I521"/>
    <mergeCell ref="I522:I524"/>
    <mergeCell ref="I525:I527"/>
    <mergeCell ref="I528:I530"/>
    <mergeCell ref="I531:I533"/>
    <mergeCell ref="I534:I536"/>
    <mergeCell ref="I537:I539"/>
    <mergeCell ref="I486:I488"/>
    <mergeCell ref="I489:I491"/>
    <mergeCell ref="I492:I494"/>
    <mergeCell ref="I495:I497"/>
    <mergeCell ref="I498:I500"/>
    <mergeCell ref="I501:I503"/>
    <mergeCell ref="I504:I506"/>
    <mergeCell ref="I507:I509"/>
    <mergeCell ref="I510:I512"/>
    <mergeCell ref="I462:I464"/>
    <mergeCell ref="I465:I467"/>
    <mergeCell ref="I468:I470"/>
    <mergeCell ref="I471:I473"/>
    <mergeCell ref="I474:I476"/>
    <mergeCell ref="I477:I479"/>
    <mergeCell ref="I480:I482"/>
    <mergeCell ref="I483:I485"/>
    <mergeCell ref="I432:I434"/>
    <mergeCell ref="I435:I437"/>
    <mergeCell ref="I438:I440"/>
    <mergeCell ref="I441:I443"/>
    <mergeCell ref="I444:I446"/>
    <mergeCell ref="I447:I449"/>
    <mergeCell ref="I450:I452"/>
    <mergeCell ref="I453:I455"/>
    <mergeCell ref="I456:I458"/>
    <mergeCell ref="I411:I413"/>
    <mergeCell ref="I414:I416"/>
    <mergeCell ref="I417:I419"/>
    <mergeCell ref="I420:I422"/>
    <mergeCell ref="I423:I425"/>
    <mergeCell ref="I426:I428"/>
    <mergeCell ref="I429:I431"/>
    <mergeCell ref="I378:I380"/>
    <mergeCell ref="I381:I383"/>
    <mergeCell ref="I384:I386"/>
    <mergeCell ref="I387:I389"/>
    <mergeCell ref="I390:I392"/>
    <mergeCell ref="I393:I395"/>
    <mergeCell ref="I396:I398"/>
    <mergeCell ref="I399:I401"/>
    <mergeCell ref="I402:I404"/>
    <mergeCell ref="I459:I461"/>
    <mergeCell ref="I360:I362"/>
    <mergeCell ref="I363:I365"/>
    <mergeCell ref="I366:I368"/>
    <mergeCell ref="I369:I371"/>
    <mergeCell ref="I372:I374"/>
    <mergeCell ref="I375:I377"/>
    <mergeCell ref="I324:I326"/>
    <mergeCell ref="I327:I329"/>
    <mergeCell ref="I330:I332"/>
    <mergeCell ref="I333:I335"/>
    <mergeCell ref="I336:I338"/>
    <mergeCell ref="I339:I341"/>
    <mergeCell ref="I342:I344"/>
    <mergeCell ref="I345:I347"/>
    <mergeCell ref="I348:I350"/>
    <mergeCell ref="I405:I407"/>
    <mergeCell ref="I408:I410"/>
    <mergeCell ref="I309:I311"/>
    <mergeCell ref="I312:I314"/>
    <mergeCell ref="I315:I317"/>
    <mergeCell ref="I318:I320"/>
    <mergeCell ref="I321:I323"/>
    <mergeCell ref="I270:I272"/>
    <mergeCell ref="I273:I275"/>
    <mergeCell ref="I276:I278"/>
    <mergeCell ref="I279:I281"/>
    <mergeCell ref="I282:I284"/>
    <mergeCell ref="I285:I287"/>
    <mergeCell ref="I288:I290"/>
    <mergeCell ref="I291:I293"/>
    <mergeCell ref="I294:I296"/>
    <mergeCell ref="I351:I353"/>
    <mergeCell ref="I354:I356"/>
    <mergeCell ref="I357:I359"/>
    <mergeCell ref="I243:I245"/>
    <mergeCell ref="I246:I248"/>
    <mergeCell ref="I249:I251"/>
    <mergeCell ref="I252:I254"/>
    <mergeCell ref="I255:I257"/>
    <mergeCell ref="I258:I260"/>
    <mergeCell ref="I261:I263"/>
    <mergeCell ref="I264:I266"/>
    <mergeCell ref="I267:I269"/>
    <mergeCell ref="I216:I218"/>
    <mergeCell ref="I219:I221"/>
    <mergeCell ref="I222:I224"/>
    <mergeCell ref="I225:I227"/>
    <mergeCell ref="I228:I230"/>
    <mergeCell ref="I231:I233"/>
    <mergeCell ref="I234:I236"/>
    <mergeCell ref="I237:I239"/>
    <mergeCell ref="I240:I242"/>
    <mergeCell ref="I189:I191"/>
    <mergeCell ref="I192:I194"/>
    <mergeCell ref="I195:I197"/>
    <mergeCell ref="I198:I200"/>
    <mergeCell ref="I201:I203"/>
    <mergeCell ref="I204:I206"/>
    <mergeCell ref="I207:I209"/>
    <mergeCell ref="I210:I212"/>
    <mergeCell ref="I213:I215"/>
    <mergeCell ref="I162:I164"/>
    <mergeCell ref="I165:I167"/>
    <mergeCell ref="I168:I170"/>
    <mergeCell ref="I171:I173"/>
    <mergeCell ref="I174:I176"/>
    <mergeCell ref="I177:I179"/>
    <mergeCell ref="I180:I182"/>
    <mergeCell ref="I183:I185"/>
    <mergeCell ref="I186:I188"/>
    <mergeCell ref="I66:I68"/>
    <mergeCell ref="I69:I71"/>
    <mergeCell ref="I72:I74"/>
    <mergeCell ref="I75:I77"/>
    <mergeCell ref="I78:I80"/>
    <mergeCell ref="I135:I137"/>
    <mergeCell ref="I138:I140"/>
    <mergeCell ref="I141:I143"/>
    <mergeCell ref="I144:I146"/>
    <mergeCell ref="I147:I149"/>
    <mergeCell ref="I150:I152"/>
    <mergeCell ref="I153:I155"/>
    <mergeCell ref="I156:I158"/>
    <mergeCell ref="I159:I161"/>
    <mergeCell ref="I108:I110"/>
    <mergeCell ref="I111:I113"/>
    <mergeCell ref="I114:I116"/>
    <mergeCell ref="I117:I119"/>
    <mergeCell ref="I120:I122"/>
    <mergeCell ref="I123:I125"/>
    <mergeCell ref="I126:I128"/>
    <mergeCell ref="I129:I131"/>
    <mergeCell ref="I132:I134"/>
    <mergeCell ref="G576:G578"/>
    <mergeCell ref="G579:G581"/>
    <mergeCell ref="I3:I5"/>
    <mergeCell ref="I6:I8"/>
    <mergeCell ref="I9:I11"/>
    <mergeCell ref="I12:I14"/>
    <mergeCell ref="I15:I17"/>
    <mergeCell ref="I18:I20"/>
    <mergeCell ref="I21:I23"/>
    <mergeCell ref="I24:I26"/>
    <mergeCell ref="I27:I29"/>
    <mergeCell ref="I30:I32"/>
    <mergeCell ref="I33:I35"/>
    <mergeCell ref="I36:I38"/>
    <mergeCell ref="I39:I41"/>
    <mergeCell ref="I42:I44"/>
    <mergeCell ref="I45:I47"/>
    <mergeCell ref="I48:I50"/>
    <mergeCell ref="I51:I53"/>
    <mergeCell ref="I81:I83"/>
    <mergeCell ref="I84:I86"/>
    <mergeCell ref="I87:I89"/>
    <mergeCell ref="I90:I92"/>
    <mergeCell ref="I93:I95"/>
    <mergeCell ref="I96:I98"/>
    <mergeCell ref="I99:I101"/>
    <mergeCell ref="I102:I104"/>
    <mergeCell ref="I105:I107"/>
    <mergeCell ref="I54:I56"/>
    <mergeCell ref="I57:I59"/>
    <mergeCell ref="I60:I62"/>
    <mergeCell ref="I63:I65"/>
    <mergeCell ref="G549:G551"/>
    <mergeCell ref="G552:G554"/>
    <mergeCell ref="G501:G503"/>
    <mergeCell ref="G504:G506"/>
    <mergeCell ref="G507:G509"/>
    <mergeCell ref="G510:G512"/>
    <mergeCell ref="G513:G515"/>
    <mergeCell ref="G516:G518"/>
    <mergeCell ref="G519:G521"/>
    <mergeCell ref="G522:G524"/>
    <mergeCell ref="G525:G527"/>
    <mergeCell ref="G609:G611"/>
    <mergeCell ref="G612:G614"/>
    <mergeCell ref="G615:G617"/>
    <mergeCell ref="G618:G620"/>
    <mergeCell ref="G621:G623"/>
    <mergeCell ref="G582:G584"/>
    <mergeCell ref="G585:G587"/>
    <mergeCell ref="G588:G590"/>
    <mergeCell ref="G591:G593"/>
    <mergeCell ref="G594:G596"/>
    <mergeCell ref="G597:G599"/>
    <mergeCell ref="G600:G602"/>
    <mergeCell ref="G603:G605"/>
    <mergeCell ref="G606:G608"/>
    <mergeCell ref="G555:G557"/>
    <mergeCell ref="G558:G560"/>
    <mergeCell ref="G561:G563"/>
    <mergeCell ref="G564:G566"/>
    <mergeCell ref="G567:G569"/>
    <mergeCell ref="G570:G572"/>
    <mergeCell ref="G573:G575"/>
    <mergeCell ref="G498:G500"/>
    <mergeCell ref="G447:G449"/>
    <mergeCell ref="G450:G452"/>
    <mergeCell ref="G453:G455"/>
    <mergeCell ref="G456:G458"/>
    <mergeCell ref="G459:G461"/>
    <mergeCell ref="G462:G464"/>
    <mergeCell ref="G465:G467"/>
    <mergeCell ref="G468:G470"/>
    <mergeCell ref="G471:G473"/>
    <mergeCell ref="G528:G530"/>
    <mergeCell ref="G531:G533"/>
    <mergeCell ref="G534:G536"/>
    <mergeCell ref="G537:G539"/>
    <mergeCell ref="G540:G542"/>
    <mergeCell ref="G543:G545"/>
    <mergeCell ref="G546:G548"/>
    <mergeCell ref="G438:G440"/>
    <mergeCell ref="G441:G443"/>
    <mergeCell ref="G444:G446"/>
    <mergeCell ref="G393:G395"/>
    <mergeCell ref="G396:G398"/>
    <mergeCell ref="G399:G401"/>
    <mergeCell ref="G402:G404"/>
    <mergeCell ref="G405:G407"/>
    <mergeCell ref="G408:G410"/>
    <mergeCell ref="G411:G413"/>
    <mergeCell ref="G414:G416"/>
    <mergeCell ref="G417:G419"/>
    <mergeCell ref="G474:G476"/>
    <mergeCell ref="G477:G479"/>
    <mergeCell ref="G480:G482"/>
    <mergeCell ref="G483:G485"/>
    <mergeCell ref="G486:G488"/>
    <mergeCell ref="G387:G389"/>
    <mergeCell ref="G390:G392"/>
    <mergeCell ref="G339:G341"/>
    <mergeCell ref="G342:G344"/>
    <mergeCell ref="G345:G347"/>
    <mergeCell ref="G348:G350"/>
    <mergeCell ref="G351:G353"/>
    <mergeCell ref="G354:G356"/>
    <mergeCell ref="G357:G359"/>
    <mergeCell ref="G360:G362"/>
    <mergeCell ref="G363:G365"/>
    <mergeCell ref="G420:G422"/>
    <mergeCell ref="G423:G425"/>
    <mergeCell ref="G426:G428"/>
    <mergeCell ref="G429:G431"/>
    <mergeCell ref="G432:G434"/>
    <mergeCell ref="G435:G437"/>
    <mergeCell ref="G312:G314"/>
    <mergeCell ref="G315:G317"/>
    <mergeCell ref="G318:G320"/>
    <mergeCell ref="G321:G323"/>
    <mergeCell ref="G324:G326"/>
    <mergeCell ref="G327:G329"/>
    <mergeCell ref="G330:G332"/>
    <mergeCell ref="G333:G335"/>
    <mergeCell ref="G336:G338"/>
    <mergeCell ref="G285:G287"/>
    <mergeCell ref="G288:G290"/>
    <mergeCell ref="G291:G293"/>
    <mergeCell ref="G294:G296"/>
    <mergeCell ref="G297:G299"/>
    <mergeCell ref="G300:G302"/>
    <mergeCell ref="G303:G305"/>
    <mergeCell ref="G306:G308"/>
    <mergeCell ref="G309:G311"/>
    <mergeCell ref="G222:G224"/>
    <mergeCell ref="G225:G227"/>
    <mergeCell ref="G228:G230"/>
    <mergeCell ref="G177:G179"/>
    <mergeCell ref="G180:G182"/>
    <mergeCell ref="G183:G185"/>
    <mergeCell ref="G186:G188"/>
    <mergeCell ref="G189:G191"/>
    <mergeCell ref="G192:G194"/>
    <mergeCell ref="G195:G197"/>
    <mergeCell ref="G198:G200"/>
    <mergeCell ref="G201:G203"/>
    <mergeCell ref="G258:G260"/>
    <mergeCell ref="G261:G263"/>
    <mergeCell ref="G264:G266"/>
    <mergeCell ref="G267:G269"/>
    <mergeCell ref="G270:G272"/>
    <mergeCell ref="G231:G233"/>
    <mergeCell ref="G234:G236"/>
    <mergeCell ref="G237:G239"/>
    <mergeCell ref="G240:G242"/>
    <mergeCell ref="G243:G245"/>
    <mergeCell ref="G246:G248"/>
    <mergeCell ref="G249:G251"/>
    <mergeCell ref="G252:G254"/>
    <mergeCell ref="G255:G257"/>
    <mergeCell ref="G150:G152"/>
    <mergeCell ref="G153:G155"/>
    <mergeCell ref="G156:G158"/>
    <mergeCell ref="G159:G161"/>
    <mergeCell ref="G162:G164"/>
    <mergeCell ref="G165:G167"/>
    <mergeCell ref="G168:G170"/>
    <mergeCell ref="G171:G173"/>
    <mergeCell ref="G174:G176"/>
    <mergeCell ref="G123:G125"/>
    <mergeCell ref="G126:G128"/>
    <mergeCell ref="G129:G131"/>
    <mergeCell ref="G132:G134"/>
    <mergeCell ref="G135:G137"/>
    <mergeCell ref="G138:G140"/>
    <mergeCell ref="G141:G143"/>
    <mergeCell ref="G144:G146"/>
    <mergeCell ref="G147:G149"/>
    <mergeCell ref="G99:G101"/>
    <mergeCell ref="G102:G104"/>
    <mergeCell ref="G105:G107"/>
    <mergeCell ref="G108:G110"/>
    <mergeCell ref="G111:G113"/>
    <mergeCell ref="G114:G116"/>
    <mergeCell ref="G117:G119"/>
    <mergeCell ref="G120:G122"/>
    <mergeCell ref="G69:G71"/>
    <mergeCell ref="G72:G74"/>
    <mergeCell ref="G75:G77"/>
    <mergeCell ref="G78:G80"/>
    <mergeCell ref="G81:G83"/>
    <mergeCell ref="G84:G86"/>
    <mergeCell ref="G87:G89"/>
    <mergeCell ref="G90:G92"/>
    <mergeCell ref="G93:G95"/>
    <mergeCell ref="G3:G5"/>
    <mergeCell ref="G6:G8"/>
    <mergeCell ref="G9:G11"/>
    <mergeCell ref="G12:G14"/>
    <mergeCell ref="G15:G17"/>
    <mergeCell ref="G18:G20"/>
    <mergeCell ref="G21:G23"/>
    <mergeCell ref="G24:G26"/>
    <mergeCell ref="G27:G29"/>
    <mergeCell ref="G30:G32"/>
    <mergeCell ref="G33:G35"/>
    <mergeCell ref="G36:G38"/>
    <mergeCell ref="G39:G41"/>
    <mergeCell ref="G42:G44"/>
    <mergeCell ref="G45:G47"/>
    <mergeCell ref="G48:G50"/>
    <mergeCell ref="G51:G53"/>
    <mergeCell ref="E426:E428"/>
    <mergeCell ref="E429:E431"/>
    <mergeCell ref="E432:E434"/>
    <mergeCell ref="E381:E383"/>
    <mergeCell ref="E384:E386"/>
    <mergeCell ref="E387:E389"/>
    <mergeCell ref="E390:E392"/>
    <mergeCell ref="E393:E395"/>
    <mergeCell ref="E396:E398"/>
    <mergeCell ref="E399:E401"/>
    <mergeCell ref="E402:E404"/>
    <mergeCell ref="E405:E407"/>
    <mergeCell ref="E498:E500"/>
    <mergeCell ref="E501:E503"/>
    <mergeCell ref="E504:E506"/>
    <mergeCell ref="E507:E509"/>
    <mergeCell ref="E510:E512"/>
    <mergeCell ref="E471:E473"/>
    <mergeCell ref="E474:E476"/>
    <mergeCell ref="E477:E479"/>
    <mergeCell ref="E480:E482"/>
    <mergeCell ref="E483:E485"/>
    <mergeCell ref="E486:E488"/>
    <mergeCell ref="E489:E491"/>
    <mergeCell ref="E492:E494"/>
    <mergeCell ref="E495:E497"/>
    <mergeCell ref="E309:E311"/>
    <mergeCell ref="E258:E260"/>
    <mergeCell ref="E261:E263"/>
    <mergeCell ref="E264:E266"/>
    <mergeCell ref="E267:E269"/>
    <mergeCell ref="E270:E272"/>
    <mergeCell ref="E273:E275"/>
    <mergeCell ref="E276:E278"/>
    <mergeCell ref="E279:E281"/>
    <mergeCell ref="E282:E284"/>
    <mergeCell ref="E354:E356"/>
    <mergeCell ref="E357:E359"/>
    <mergeCell ref="E360:E362"/>
    <mergeCell ref="E363:E365"/>
    <mergeCell ref="E366:E368"/>
    <mergeCell ref="E369:E371"/>
    <mergeCell ref="E372:E374"/>
    <mergeCell ref="E312:E314"/>
    <mergeCell ref="E315:E317"/>
    <mergeCell ref="E318:E320"/>
    <mergeCell ref="E321:E323"/>
    <mergeCell ref="E324:E326"/>
    <mergeCell ref="E327:E329"/>
    <mergeCell ref="E330:E332"/>
    <mergeCell ref="E333:E335"/>
    <mergeCell ref="E336:E338"/>
    <mergeCell ref="E174:E176"/>
    <mergeCell ref="E231:E233"/>
    <mergeCell ref="E234:E236"/>
    <mergeCell ref="E237:E239"/>
    <mergeCell ref="E240:E242"/>
    <mergeCell ref="E243:E245"/>
    <mergeCell ref="E246:E248"/>
    <mergeCell ref="E249:E251"/>
    <mergeCell ref="E252:E254"/>
    <mergeCell ref="E255:E257"/>
    <mergeCell ref="E204:E206"/>
    <mergeCell ref="E207:E209"/>
    <mergeCell ref="E210:E212"/>
    <mergeCell ref="E213:E215"/>
    <mergeCell ref="E216:E218"/>
    <mergeCell ref="E219:E221"/>
    <mergeCell ref="E222:E224"/>
    <mergeCell ref="E225:E227"/>
    <mergeCell ref="E228:E230"/>
    <mergeCell ref="E39:E41"/>
    <mergeCell ref="E42:E44"/>
    <mergeCell ref="E45:E47"/>
    <mergeCell ref="E48:E50"/>
    <mergeCell ref="E51:E53"/>
    <mergeCell ref="E108:E110"/>
    <mergeCell ref="E111:E113"/>
    <mergeCell ref="E114:E116"/>
    <mergeCell ref="E117:E119"/>
    <mergeCell ref="E120:E122"/>
    <mergeCell ref="E123:E125"/>
    <mergeCell ref="E126:E128"/>
    <mergeCell ref="E129:E131"/>
    <mergeCell ref="E132:E134"/>
    <mergeCell ref="E81:E83"/>
    <mergeCell ref="E84:E86"/>
    <mergeCell ref="E87:E89"/>
    <mergeCell ref="E90:E92"/>
    <mergeCell ref="E93:E95"/>
    <mergeCell ref="E96:E98"/>
    <mergeCell ref="E99:E101"/>
    <mergeCell ref="E102:E104"/>
    <mergeCell ref="E105:E107"/>
    <mergeCell ref="E3:E5"/>
    <mergeCell ref="E6:E8"/>
    <mergeCell ref="E9:E11"/>
    <mergeCell ref="E12:E14"/>
    <mergeCell ref="E15:E17"/>
    <mergeCell ref="E18:E20"/>
    <mergeCell ref="E21:E23"/>
    <mergeCell ref="E24:E26"/>
    <mergeCell ref="B3:B5"/>
    <mergeCell ref="B36:B38"/>
    <mergeCell ref="B21:B23"/>
    <mergeCell ref="B24:B26"/>
    <mergeCell ref="B27:B29"/>
    <mergeCell ref="B12:B14"/>
    <mergeCell ref="B15:B17"/>
    <mergeCell ref="B18:B20"/>
    <mergeCell ref="B6:B8"/>
    <mergeCell ref="B9:B11"/>
    <mergeCell ref="E27:E29"/>
    <mergeCell ref="E30:E32"/>
    <mergeCell ref="E33:E35"/>
    <mergeCell ref="E36:E38"/>
    <mergeCell ref="R18:R20"/>
    <mergeCell ref="R21:R23"/>
    <mergeCell ref="R24:R26"/>
    <mergeCell ref="R27:R29"/>
    <mergeCell ref="R30:R32"/>
    <mergeCell ref="R33:R35"/>
    <mergeCell ref="B66:B68"/>
    <mergeCell ref="B69:B71"/>
    <mergeCell ref="R3:R5"/>
    <mergeCell ref="R6:R8"/>
    <mergeCell ref="R9:R11"/>
    <mergeCell ref="R12:R14"/>
    <mergeCell ref="R15:R17"/>
    <mergeCell ref="B57:B59"/>
    <mergeCell ref="B60:B62"/>
    <mergeCell ref="B63:B65"/>
    <mergeCell ref="B48:B50"/>
    <mergeCell ref="B51:B53"/>
    <mergeCell ref="B54:B56"/>
    <mergeCell ref="B39:B41"/>
    <mergeCell ref="B42:B44"/>
    <mergeCell ref="B45:B47"/>
    <mergeCell ref="B30:B32"/>
    <mergeCell ref="B33:B35"/>
    <mergeCell ref="R54:R56"/>
    <mergeCell ref="R57:R59"/>
    <mergeCell ref="R60:R62"/>
    <mergeCell ref="R63:R65"/>
    <mergeCell ref="R66:R68"/>
    <mergeCell ref="R69:R71"/>
    <mergeCell ref="R36:R38"/>
    <mergeCell ref="R39:R41"/>
    <mergeCell ref="R42:R44"/>
    <mergeCell ref="R45:R47"/>
    <mergeCell ref="R48:R50"/>
    <mergeCell ref="R51:R53"/>
    <mergeCell ref="B90:B92"/>
    <mergeCell ref="B93:B95"/>
    <mergeCell ref="B96:B98"/>
    <mergeCell ref="B99:B101"/>
    <mergeCell ref="B102:B104"/>
    <mergeCell ref="B105:B107"/>
    <mergeCell ref="B72:B74"/>
    <mergeCell ref="B75:B77"/>
    <mergeCell ref="B78:B80"/>
    <mergeCell ref="B81:B83"/>
    <mergeCell ref="B84:B86"/>
    <mergeCell ref="B87:B89"/>
    <mergeCell ref="B126:B128"/>
    <mergeCell ref="E54:E56"/>
    <mergeCell ref="E57:E59"/>
    <mergeCell ref="E60:E62"/>
    <mergeCell ref="E63:E65"/>
    <mergeCell ref="E66:E68"/>
    <mergeCell ref="E69:E71"/>
    <mergeCell ref="E72:E74"/>
    <mergeCell ref="E75:E77"/>
    <mergeCell ref="E78:E80"/>
    <mergeCell ref="G54:G56"/>
    <mergeCell ref="G57:G59"/>
    <mergeCell ref="G60:G62"/>
    <mergeCell ref="G63:G65"/>
    <mergeCell ref="G66:G68"/>
    <mergeCell ref="G96:G98"/>
    <mergeCell ref="B129:B131"/>
    <mergeCell ref="B132:B134"/>
    <mergeCell ref="B135:B137"/>
    <mergeCell ref="B138:B140"/>
    <mergeCell ref="B141:B143"/>
    <mergeCell ref="B108:B110"/>
    <mergeCell ref="B111:B113"/>
    <mergeCell ref="B114:B116"/>
    <mergeCell ref="B117:B119"/>
    <mergeCell ref="B120:B122"/>
    <mergeCell ref="B123:B125"/>
    <mergeCell ref="R72:R74"/>
    <mergeCell ref="R75:R77"/>
    <mergeCell ref="R78:R80"/>
    <mergeCell ref="R81:R83"/>
    <mergeCell ref="R84:R86"/>
    <mergeCell ref="R87:R89"/>
    <mergeCell ref="R90:R92"/>
    <mergeCell ref="R93:R95"/>
    <mergeCell ref="R96:R98"/>
    <mergeCell ref="R117:R119"/>
    <mergeCell ref="R120:R122"/>
    <mergeCell ref="R123:R125"/>
    <mergeCell ref="R126:R128"/>
    <mergeCell ref="R129:R131"/>
    <mergeCell ref="R132:R134"/>
    <mergeCell ref="R99:R101"/>
    <mergeCell ref="R102:R104"/>
    <mergeCell ref="R105:R107"/>
    <mergeCell ref="R108:R110"/>
    <mergeCell ref="R111:R113"/>
    <mergeCell ref="R114:R116"/>
    <mergeCell ref="R153:R155"/>
    <mergeCell ref="R156:R158"/>
    <mergeCell ref="R159:R161"/>
    <mergeCell ref="B165:B167"/>
    <mergeCell ref="B168:B170"/>
    <mergeCell ref="B171:B173"/>
    <mergeCell ref="R135:R137"/>
    <mergeCell ref="R138:R140"/>
    <mergeCell ref="R141:R143"/>
    <mergeCell ref="R144:R146"/>
    <mergeCell ref="R147:R149"/>
    <mergeCell ref="R150:R152"/>
    <mergeCell ref="B162:B164"/>
    <mergeCell ref="B144:B146"/>
    <mergeCell ref="B147:B149"/>
    <mergeCell ref="B150:B152"/>
    <mergeCell ref="B153:B155"/>
    <mergeCell ref="B156:B158"/>
    <mergeCell ref="B159:B161"/>
    <mergeCell ref="E135:E137"/>
    <mergeCell ref="E138:E140"/>
    <mergeCell ref="E141:E143"/>
    <mergeCell ref="E144:E146"/>
    <mergeCell ref="E147:E149"/>
    <mergeCell ref="E150:E152"/>
    <mergeCell ref="E153:E155"/>
    <mergeCell ref="E156:E158"/>
    <mergeCell ref="E159:E161"/>
    <mergeCell ref="E162:E164"/>
    <mergeCell ref="E165:E167"/>
    <mergeCell ref="E168:E170"/>
    <mergeCell ref="E171:E173"/>
    <mergeCell ref="B174:B176"/>
    <mergeCell ref="B177:B179"/>
    <mergeCell ref="B180:B182"/>
    <mergeCell ref="B183:B185"/>
    <mergeCell ref="B186:B188"/>
    <mergeCell ref="B189:B191"/>
    <mergeCell ref="B246:B248"/>
    <mergeCell ref="B249:B251"/>
    <mergeCell ref="B252:B254"/>
    <mergeCell ref="R162:R164"/>
    <mergeCell ref="R165:R167"/>
    <mergeCell ref="R168:R170"/>
    <mergeCell ref="R171:R173"/>
    <mergeCell ref="R174:R176"/>
    <mergeCell ref="R177:R179"/>
    <mergeCell ref="R180:R182"/>
    <mergeCell ref="B228:B230"/>
    <mergeCell ref="B231:B233"/>
    <mergeCell ref="B234:B236"/>
    <mergeCell ref="B237:B239"/>
    <mergeCell ref="B240:B242"/>
    <mergeCell ref="B243:B245"/>
    <mergeCell ref="B210:B212"/>
    <mergeCell ref="B213:B215"/>
    <mergeCell ref="B216:B218"/>
    <mergeCell ref="B219:B221"/>
    <mergeCell ref="B222:B224"/>
    <mergeCell ref="B225:B227"/>
    <mergeCell ref="E177:E179"/>
    <mergeCell ref="E180:E182"/>
    <mergeCell ref="E183:E185"/>
    <mergeCell ref="E186:E188"/>
    <mergeCell ref="B192:B194"/>
    <mergeCell ref="B195:B197"/>
    <mergeCell ref="R201:R203"/>
    <mergeCell ref="R204:R206"/>
    <mergeCell ref="R207:R209"/>
    <mergeCell ref="R210:R212"/>
    <mergeCell ref="R213:R215"/>
    <mergeCell ref="R216:R218"/>
    <mergeCell ref="R183:R185"/>
    <mergeCell ref="R186:R188"/>
    <mergeCell ref="R189:R191"/>
    <mergeCell ref="R192:R194"/>
    <mergeCell ref="R195:R197"/>
    <mergeCell ref="R198:R200"/>
    <mergeCell ref="R237:R239"/>
    <mergeCell ref="R240:R242"/>
    <mergeCell ref="R243:R245"/>
    <mergeCell ref="B198:B200"/>
    <mergeCell ref="B201:B203"/>
    <mergeCell ref="B204:B206"/>
    <mergeCell ref="B207:B209"/>
    <mergeCell ref="E189:E191"/>
    <mergeCell ref="E192:E194"/>
    <mergeCell ref="E195:E197"/>
    <mergeCell ref="E198:E200"/>
    <mergeCell ref="E201:E203"/>
    <mergeCell ref="G204:G206"/>
    <mergeCell ref="G207:G209"/>
    <mergeCell ref="G210:G212"/>
    <mergeCell ref="G213:G215"/>
    <mergeCell ref="G216:G218"/>
    <mergeCell ref="G219:G221"/>
    <mergeCell ref="R312:R314"/>
    <mergeCell ref="R315:R317"/>
    <mergeCell ref="R282:R284"/>
    <mergeCell ref="R285:R287"/>
    <mergeCell ref="R288:R290"/>
    <mergeCell ref="R291:R293"/>
    <mergeCell ref="R294:R296"/>
    <mergeCell ref="R246:R248"/>
    <mergeCell ref="R249:R251"/>
    <mergeCell ref="R252:R254"/>
    <mergeCell ref="R219:R221"/>
    <mergeCell ref="R222:R224"/>
    <mergeCell ref="R225:R227"/>
    <mergeCell ref="R228:R230"/>
    <mergeCell ref="R231:R233"/>
    <mergeCell ref="R234:R236"/>
    <mergeCell ref="B273:B275"/>
    <mergeCell ref="B276:B278"/>
    <mergeCell ref="B279:B281"/>
    <mergeCell ref="B282:B284"/>
    <mergeCell ref="B285:B287"/>
    <mergeCell ref="B288:B290"/>
    <mergeCell ref="B255:B257"/>
    <mergeCell ref="B258:B260"/>
    <mergeCell ref="B261:B263"/>
    <mergeCell ref="B264:B266"/>
    <mergeCell ref="B267:B269"/>
    <mergeCell ref="B270:B272"/>
    <mergeCell ref="E285:E287"/>
    <mergeCell ref="E288:E290"/>
    <mergeCell ref="E291:E293"/>
    <mergeCell ref="E294:E296"/>
    <mergeCell ref="B291:B293"/>
    <mergeCell ref="B294:B296"/>
    <mergeCell ref="B297:B299"/>
    <mergeCell ref="B300:B302"/>
    <mergeCell ref="B303:B305"/>
    <mergeCell ref="B306:B308"/>
    <mergeCell ref="R255:R257"/>
    <mergeCell ref="R258:R260"/>
    <mergeCell ref="R261:R263"/>
    <mergeCell ref="R264:R266"/>
    <mergeCell ref="R267:R269"/>
    <mergeCell ref="R270:R272"/>
    <mergeCell ref="R273:R275"/>
    <mergeCell ref="R276:R278"/>
    <mergeCell ref="R279:R281"/>
    <mergeCell ref="R300:R302"/>
    <mergeCell ref="R303:R305"/>
    <mergeCell ref="R306:R308"/>
    <mergeCell ref="E297:E299"/>
    <mergeCell ref="E300:E302"/>
    <mergeCell ref="E303:E305"/>
    <mergeCell ref="E306:E308"/>
    <mergeCell ref="G273:G275"/>
    <mergeCell ref="G276:G278"/>
    <mergeCell ref="G279:G281"/>
    <mergeCell ref="G282:G284"/>
    <mergeCell ref="I297:I299"/>
    <mergeCell ref="I300:I302"/>
    <mergeCell ref="I303:I305"/>
    <mergeCell ref="I306:I308"/>
    <mergeCell ref="K255:K257"/>
    <mergeCell ref="K258:K260"/>
    <mergeCell ref="R297:R299"/>
    <mergeCell ref="R336:R338"/>
    <mergeCell ref="R339:R341"/>
    <mergeCell ref="R342:R344"/>
    <mergeCell ref="R345:R347"/>
    <mergeCell ref="B348:B350"/>
    <mergeCell ref="B351:B353"/>
    <mergeCell ref="R318:R320"/>
    <mergeCell ref="R321:R323"/>
    <mergeCell ref="R324:R326"/>
    <mergeCell ref="R327:R329"/>
    <mergeCell ref="R330:R332"/>
    <mergeCell ref="R333:R335"/>
    <mergeCell ref="B345:B347"/>
    <mergeCell ref="B327:B329"/>
    <mergeCell ref="B330:B332"/>
    <mergeCell ref="B333:B335"/>
    <mergeCell ref="B336:B338"/>
    <mergeCell ref="B339:B341"/>
    <mergeCell ref="B342:B344"/>
    <mergeCell ref="E339:E341"/>
    <mergeCell ref="E342:E344"/>
    <mergeCell ref="E345:E347"/>
    <mergeCell ref="E348:E350"/>
    <mergeCell ref="E351:E353"/>
    <mergeCell ref="B309:B311"/>
    <mergeCell ref="B312:B314"/>
    <mergeCell ref="B315:B317"/>
    <mergeCell ref="B318:B320"/>
    <mergeCell ref="B321:B323"/>
    <mergeCell ref="B324:B326"/>
    <mergeCell ref="R309:R311"/>
    <mergeCell ref="B354:B356"/>
    <mergeCell ref="B357:B359"/>
    <mergeCell ref="B360:B362"/>
    <mergeCell ref="B363:B365"/>
    <mergeCell ref="B366:B368"/>
    <mergeCell ref="B369:B371"/>
    <mergeCell ref="B426:B428"/>
    <mergeCell ref="B429:B431"/>
    <mergeCell ref="B432:B434"/>
    <mergeCell ref="B435:B437"/>
    <mergeCell ref="B438:B440"/>
    <mergeCell ref="R348:R350"/>
    <mergeCell ref="R351:R353"/>
    <mergeCell ref="R354:R356"/>
    <mergeCell ref="R357:R359"/>
    <mergeCell ref="R360:R362"/>
    <mergeCell ref="B408:B410"/>
    <mergeCell ref="B411:B413"/>
    <mergeCell ref="B414:B416"/>
    <mergeCell ref="B417:B419"/>
    <mergeCell ref="B420:B422"/>
    <mergeCell ref="B423:B425"/>
    <mergeCell ref="B390:B392"/>
    <mergeCell ref="B393:B395"/>
    <mergeCell ref="B396:B398"/>
    <mergeCell ref="B399:B401"/>
    <mergeCell ref="B402:B404"/>
    <mergeCell ref="B405:B407"/>
    <mergeCell ref="E375:E377"/>
    <mergeCell ref="E378:E380"/>
    <mergeCell ref="E408:E410"/>
    <mergeCell ref="E411:E413"/>
    <mergeCell ref="B372:B374"/>
    <mergeCell ref="B375:B377"/>
    <mergeCell ref="R381:R383"/>
    <mergeCell ref="R384:R386"/>
    <mergeCell ref="R387:R389"/>
    <mergeCell ref="R390:R392"/>
    <mergeCell ref="R393:R395"/>
    <mergeCell ref="R396:R398"/>
    <mergeCell ref="R363:R365"/>
    <mergeCell ref="R366:R368"/>
    <mergeCell ref="R369:R371"/>
    <mergeCell ref="R372:R374"/>
    <mergeCell ref="R375:R377"/>
    <mergeCell ref="R378:R380"/>
    <mergeCell ref="R417:R419"/>
    <mergeCell ref="R420:R422"/>
    <mergeCell ref="R423:R425"/>
    <mergeCell ref="B378:B380"/>
    <mergeCell ref="B381:B383"/>
    <mergeCell ref="B384:B386"/>
    <mergeCell ref="B387:B389"/>
    <mergeCell ref="E414:E416"/>
    <mergeCell ref="E417:E419"/>
    <mergeCell ref="E420:E422"/>
    <mergeCell ref="E423:E425"/>
    <mergeCell ref="G366:G368"/>
    <mergeCell ref="G369:G371"/>
    <mergeCell ref="G372:G374"/>
    <mergeCell ref="G375:G377"/>
    <mergeCell ref="G378:G380"/>
    <mergeCell ref="G381:G383"/>
    <mergeCell ref="G384:G386"/>
    <mergeCell ref="R426:R428"/>
    <mergeCell ref="R429:R431"/>
    <mergeCell ref="R432:R434"/>
    <mergeCell ref="R399:R401"/>
    <mergeCell ref="R402:R404"/>
    <mergeCell ref="R405:R407"/>
    <mergeCell ref="R408:R410"/>
    <mergeCell ref="R411:R413"/>
    <mergeCell ref="R414:R416"/>
    <mergeCell ref="B462:B464"/>
    <mergeCell ref="B465:B467"/>
    <mergeCell ref="B468:B470"/>
    <mergeCell ref="R435:R437"/>
    <mergeCell ref="R438:R440"/>
    <mergeCell ref="B441:B443"/>
    <mergeCell ref="B444:B446"/>
    <mergeCell ref="B447:B449"/>
    <mergeCell ref="B450:B452"/>
    <mergeCell ref="E435:E437"/>
    <mergeCell ref="E438:E440"/>
    <mergeCell ref="E441:E443"/>
    <mergeCell ref="E444:E446"/>
    <mergeCell ref="E447:E449"/>
    <mergeCell ref="E450:E452"/>
    <mergeCell ref="E453:E455"/>
    <mergeCell ref="E456:E458"/>
    <mergeCell ref="E459:E461"/>
    <mergeCell ref="E462:E464"/>
    <mergeCell ref="E465:E467"/>
    <mergeCell ref="E468:E470"/>
    <mergeCell ref="R441:R443"/>
    <mergeCell ref="R444:R446"/>
    <mergeCell ref="R447:R449"/>
    <mergeCell ref="R450:R452"/>
    <mergeCell ref="R453:R455"/>
    <mergeCell ref="R456:R458"/>
    <mergeCell ref="R459:R461"/>
    <mergeCell ref="R462:R464"/>
    <mergeCell ref="B507:B509"/>
    <mergeCell ref="B489:B491"/>
    <mergeCell ref="B492:B494"/>
    <mergeCell ref="B495:B497"/>
    <mergeCell ref="B498:B500"/>
    <mergeCell ref="B501:B503"/>
    <mergeCell ref="B504:B506"/>
    <mergeCell ref="B471:B473"/>
    <mergeCell ref="B474:B476"/>
    <mergeCell ref="B477:B479"/>
    <mergeCell ref="B480:B482"/>
    <mergeCell ref="B483:B485"/>
    <mergeCell ref="B486:B488"/>
    <mergeCell ref="B453:B455"/>
    <mergeCell ref="B456:B458"/>
    <mergeCell ref="B459:B461"/>
    <mergeCell ref="R483:R485"/>
    <mergeCell ref="R486:R488"/>
    <mergeCell ref="R489:R491"/>
    <mergeCell ref="R492:R494"/>
    <mergeCell ref="R495:R497"/>
    <mergeCell ref="R498:R500"/>
    <mergeCell ref="R465:R467"/>
    <mergeCell ref="R468:R470"/>
    <mergeCell ref="R471:R473"/>
    <mergeCell ref="R474:R476"/>
    <mergeCell ref="R477:R479"/>
    <mergeCell ref="R480:R482"/>
    <mergeCell ref="R519:R521"/>
    <mergeCell ref="R522:R524"/>
    <mergeCell ref="R525:R527"/>
    <mergeCell ref="R528:R530"/>
    <mergeCell ref="B531:B533"/>
    <mergeCell ref="B534:B536"/>
    <mergeCell ref="R501:R503"/>
    <mergeCell ref="R504:R506"/>
    <mergeCell ref="R507:R509"/>
    <mergeCell ref="R510:R512"/>
    <mergeCell ref="R513:R515"/>
    <mergeCell ref="R516:R518"/>
    <mergeCell ref="B525:B527"/>
    <mergeCell ref="B528:B530"/>
    <mergeCell ref="B510:B512"/>
    <mergeCell ref="B513:B515"/>
    <mergeCell ref="B516:B518"/>
    <mergeCell ref="B519:B521"/>
    <mergeCell ref="B522:B524"/>
    <mergeCell ref="E525:E527"/>
    <mergeCell ref="E528:E530"/>
    <mergeCell ref="E531:E533"/>
    <mergeCell ref="E534:E536"/>
    <mergeCell ref="E513:E515"/>
    <mergeCell ref="E516:E518"/>
    <mergeCell ref="E519:E521"/>
    <mergeCell ref="E522:E524"/>
    <mergeCell ref="G489:G491"/>
    <mergeCell ref="G492:G494"/>
    <mergeCell ref="G495:G497"/>
    <mergeCell ref="B615:B617"/>
    <mergeCell ref="B618:B620"/>
    <mergeCell ref="B621:B623"/>
    <mergeCell ref="R531:R533"/>
    <mergeCell ref="R534:R536"/>
    <mergeCell ref="R537:R539"/>
    <mergeCell ref="R540:R542"/>
    <mergeCell ref="R543:R545"/>
    <mergeCell ref="B591:B593"/>
    <mergeCell ref="B594:B596"/>
    <mergeCell ref="B597:B599"/>
    <mergeCell ref="B600:B602"/>
    <mergeCell ref="B603:B605"/>
    <mergeCell ref="B606:B608"/>
    <mergeCell ref="B573:B575"/>
    <mergeCell ref="B576:B578"/>
    <mergeCell ref="B579:B581"/>
    <mergeCell ref="B582:B584"/>
    <mergeCell ref="B585:B587"/>
    <mergeCell ref="B588:B590"/>
    <mergeCell ref="E591:E593"/>
    <mergeCell ref="E594:E596"/>
    <mergeCell ref="E597:E599"/>
    <mergeCell ref="E600:E602"/>
    <mergeCell ref="E603:E605"/>
    <mergeCell ref="E606:E608"/>
    <mergeCell ref="E609:E611"/>
    <mergeCell ref="E612:E614"/>
    <mergeCell ref="E615:E617"/>
    <mergeCell ref="E564:E566"/>
    <mergeCell ref="E567:E569"/>
    <mergeCell ref="E570:E572"/>
    <mergeCell ref="R558:R560"/>
    <mergeCell ref="R561:R563"/>
    <mergeCell ref="R600:R602"/>
    <mergeCell ref="R603:R605"/>
    <mergeCell ref="R606:R608"/>
    <mergeCell ref="B561:B563"/>
    <mergeCell ref="B564:B566"/>
    <mergeCell ref="B567:B569"/>
    <mergeCell ref="B570:B572"/>
    <mergeCell ref="B537:B539"/>
    <mergeCell ref="B540:B542"/>
    <mergeCell ref="B543:B545"/>
    <mergeCell ref="B546:B548"/>
    <mergeCell ref="B549:B551"/>
    <mergeCell ref="B552:B554"/>
    <mergeCell ref="B609:B611"/>
    <mergeCell ref="B612:B614"/>
    <mergeCell ref="E573:E575"/>
    <mergeCell ref="E576:E578"/>
    <mergeCell ref="E579:E581"/>
    <mergeCell ref="E582:E584"/>
    <mergeCell ref="E585:E587"/>
    <mergeCell ref="E588:E590"/>
    <mergeCell ref="E537:E539"/>
    <mergeCell ref="E540:E542"/>
    <mergeCell ref="E543:E545"/>
    <mergeCell ref="E546:E548"/>
    <mergeCell ref="E549:E551"/>
    <mergeCell ref="E552:E554"/>
    <mergeCell ref="E555:E557"/>
    <mergeCell ref="E558:E560"/>
    <mergeCell ref="E561:E563"/>
    <mergeCell ref="R609:R611"/>
    <mergeCell ref="R612:R614"/>
    <mergeCell ref="R615:R617"/>
    <mergeCell ref="R582:R584"/>
    <mergeCell ref="R585:R587"/>
    <mergeCell ref="R588:R590"/>
    <mergeCell ref="R591:R593"/>
    <mergeCell ref="R594:R596"/>
    <mergeCell ref="R597:R599"/>
    <mergeCell ref="R618:R620"/>
    <mergeCell ref="R621:R623"/>
    <mergeCell ref="E618:E620"/>
    <mergeCell ref="E621:E623"/>
    <mergeCell ref="A348:A440"/>
    <mergeCell ref="A441:A530"/>
    <mergeCell ref="A531:A623"/>
    <mergeCell ref="A3:A71"/>
    <mergeCell ref="A72:A164"/>
    <mergeCell ref="A165:A254"/>
    <mergeCell ref="A255:A347"/>
    <mergeCell ref="B555:B557"/>
    <mergeCell ref="B558:B560"/>
    <mergeCell ref="R564:R566"/>
    <mergeCell ref="R567:R569"/>
    <mergeCell ref="R570:R572"/>
    <mergeCell ref="R573:R575"/>
    <mergeCell ref="R576:R578"/>
    <mergeCell ref="R579:R581"/>
    <mergeCell ref="R546:R548"/>
    <mergeCell ref="R549:R551"/>
    <mergeCell ref="R552:R554"/>
    <mergeCell ref="R555:R557"/>
  </mergeCells>
  <phoneticPr fontId="3" type="noConversion"/>
  <pageMargins left="0.7" right="0.7" top="0.75" bottom="0.75" header="0.3" footer="0.3"/>
  <ignoredErrors>
    <ignoredError sqref="E6:E623" formulaRange="1"/>
    <ignoredError sqref="M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vt:lpstr>
      <vt:lpstr>Sheet4</vt:lpstr>
      <vt:lpstr>Sheet3</vt:lpstr>
      <vt:lpstr>Sheet2</vt:lpstr>
      <vt:lpstr>Sheet5</vt:lpstr>
      <vt:lpstr>Sheet6</vt:lpstr>
      <vt:lpstr>Sheet8</vt:lpstr>
      <vt:lpstr>Sheet7</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alok ranjan</dc:creator>
  <cp:lastModifiedBy>alok ranjan</cp:lastModifiedBy>
  <dcterms:created xsi:type="dcterms:W3CDTF">2024-06-13T10:20:16Z</dcterms:created>
  <dcterms:modified xsi:type="dcterms:W3CDTF">2024-06-18T11:38:24Z</dcterms:modified>
</cp:coreProperties>
</file>